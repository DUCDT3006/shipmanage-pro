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VU GIA TAM\1.TAI CHINH\Antigravity\ShipManage\"/>
    </mc:Choice>
  </mc:AlternateContent>
  <xr:revisionPtr revIDLastSave="0" documentId="13_ncr:1_{8CE6B4F5-F743-4FCE-912C-46DA31F19D1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26" r:id="rId1"/>
    <sheet name="So lieu khai thac" sheetId="19" r:id="rId2"/>
    <sheet name="Sheet1" sheetId="15" r:id="rId3"/>
    <sheet name="T10-2025" sheetId="23" r:id="rId4"/>
    <sheet name="T11-2025" sheetId="17" r:id="rId5"/>
    <sheet name="T12-2025" sheetId="20" r:id="rId6"/>
    <sheet name="T1-2026" sheetId="24" r:id="rId7"/>
    <sheet name="T2-2026" sheetId="25" r:id="rId8"/>
    <sheet name="D0" sheetId="2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19" l="1"/>
  <c r="W5" i="19"/>
  <c r="W17" i="19"/>
  <c r="W18" i="19"/>
  <c r="W28" i="19"/>
  <c r="W29" i="19"/>
  <c r="W40" i="19"/>
  <c r="W51" i="19"/>
  <c r="W52" i="19"/>
  <c r="W53" i="19"/>
  <c r="W54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O16" i="19"/>
  <c r="P16" i="19" s="1"/>
  <c r="O15" i="19"/>
  <c r="P15" i="19" s="1"/>
  <c r="O14" i="19"/>
  <c r="P14" i="19" s="1"/>
  <c r="O13" i="19"/>
  <c r="P13" i="19" s="1"/>
  <c r="O12" i="19"/>
  <c r="P12" i="19" s="1"/>
  <c r="O11" i="19"/>
  <c r="P11" i="19" s="1"/>
  <c r="O63" i="19"/>
  <c r="P63" i="19" s="1"/>
  <c r="O62" i="19"/>
  <c r="P62" i="19" s="1"/>
  <c r="O61" i="19"/>
  <c r="P61" i="19" s="1"/>
  <c r="O60" i="19"/>
  <c r="P60" i="19" s="1"/>
  <c r="O59" i="19"/>
  <c r="P59" i="19" s="1"/>
  <c r="O58" i="19"/>
  <c r="P58" i="19" s="1"/>
  <c r="O57" i="19"/>
  <c r="P57" i="19" s="1"/>
  <c r="O56" i="19"/>
  <c r="P56" i="19" s="1"/>
  <c r="O49" i="19"/>
  <c r="P49" i="19" s="1"/>
  <c r="O48" i="19"/>
  <c r="P48" i="19" s="1"/>
  <c r="O47" i="19"/>
  <c r="P47" i="19" s="1"/>
  <c r="O46" i="19"/>
  <c r="P46" i="19" s="1"/>
  <c r="O45" i="19"/>
  <c r="P45" i="19" s="1"/>
  <c r="O44" i="19"/>
  <c r="P44" i="19" s="1"/>
  <c r="O43" i="19"/>
  <c r="P43" i="19" s="1"/>
  <c r="O42" i="19"/>
  <c r="P42" i="19" s="1"/>
  <c r="O39" i="19"/>
  <c r="P39" i="19" s="1"/>
  <c r="O38" i="19"/>
  <c r="P38" i="19" s="1"/>
  <c r="O37" i="19"/>
  <c r="P37" i="19" s="1"/>
  <c r="O36" i="19"/>
  <c r="P36" i="19" s="1"/>
  <c r="O35" i="19"/>
  <c r="P35" i="19" s="1"/>
  <c r="O34" i="19"/>
  <c r="P34" i="19" s="1"/>
  <c r="O33" i="19"/>
  <c r="P33" i="19" s="1"/>
  <c r="O32" i="19"/>
  <c r="P32" i="19" s="1"/>
  <c r="O31" i="19"/>
  <c r="P31" i="19" s="1"/>
  <c r="O27" i="19"/>
  <c r="P27" i="19" s="1"/>
  <c r="O26" i="19"/>
  <c r="P26" i="19" s="1"/>
  <c r="O21" i="19"/>
  <c r="P21" i="19" s="1"/>
  <c r="K52" i="19"/>
  <c r="E52" i="19"/>
  <c r="K63" i="19"/>
  <c r="E63" i="19"/>
  <c r="K62" i="19"/>
  <c r="E62" i="19"/>
  <c r="K61" i="19"/>
  <c r="AL61" i="19"/>
  <c r="AN61" i="19"/>
  <c r="AS61" i="19"/>
  <c r="AV61" i="19"/>
  <c r="K51" i="19"/>
  <c r="E51" i="19"/>
  <c r="J50" i="19"/>
  <c r="O50" i="19" s="1"/>
  <c r="P50" i="19" s="1"/>
  <c r="E50" i="19"/>
  <c r="K39" i="19"/>
  <c r="E39" i="19"/>
  <c r="K38" i="19"/>
  <c r="E38" i="19"/>
  <c r="K37" i="19"/>
  <c r="AN37" i="19" s="1"/>
  <c r="K27" i="19"/>
  <c r="E27" i="19"/>
  <c r="K26" i="19"/>
  <c r="K16" i="19"/>
  <c r="E16" i="19"/>
  <c r="K15" i="19"/>
  <c r="E15" i="19"/>
  <c r="K14" i="19"/>
  <c r="AN14" i="19" s="1"/>
  <c r="E14" i="19"/>
  <c r="J392" i="22"/>
  <c r="K334" i="22"/>
  <c r="Q16" i="19" l="1"/>
  <c r="R16" i="19" s="1"/>
  <c r="W16" i="19" s="1"/>
  <c r="Q11" i="19"/>
  <c r="R11" i="19" s="1"/>
  <c r="W11" i="19" s="1"/>
  <c r="Q14" i="19"/>
  <c r="R14" i="19" s="1"/>
  <c r="W14" i="19" s="1"/>
  <c r="Q12" i="19"/>
  <c r="R12" i="19" s="1"/>
  <c r="W12" i="19" s="1"/>
  <c r="Q15" i="19"/>
  <c r="R15" i="19" s="1"/>
  <c r="W15" i="19" s="1"/>
  <c r="Q13" i="19"/>
  <c r="R13" i="19" s="1"/>
  <c r="W13" i="19" s="1"/>
  <c r="Q58" i="19"/>
  <c r="R58" i="19" s="1"/>
  <c r="W58" i="19" s="1"/>
  <c r="Q56" i="19"/>
  <c r="R56" i="19" s="1"/>
  <c r="W56" i="19" s="1"/>
  <c r="Q59" i="19"/>
  <c r="R59" i="19" s="1"/>
  <c r="W59" i="19" s="1"/>
  <c r="Q62" i="19"/>
  <c r="R62" i="19" s="1"/>
  <c r="W62" i="19" s="1"/>
  <c r="Q60" i="19"/>
  <c r="R60" i="19" s="1"/>
  <c r="W60" i="19" s="1"/>
  <c r="Q63" i="19"/>
  <c r="R63" i="19" s="1"/>
  <c r="W63" i="19" s="1"/>
  <c r="Q57" i="19"/>
  <c r="R57" i="19" s="1"/>
  <c r="W57" i="19" s="1"/>
  <c r="Q61" i="19"/>
  <c r="R61" i="19" s="1"/>
  <c r="W61" i="19" s="1"/>
  <c r="Q42" i="19"/>
  <c r="R42" i="19" s="1"/>
  <c r="W42" i="19" s="1"/>
  <c r="Q45" i="19"/>
  <c r="R45" i="19" s="1"/>
  <c r="W45" i="19" s="1"/>
  <c r="Q48" i="19"/>
  <c r="R48" i="19" s="1"/>
  <c r="W48" i="19" s="1"/>
  <c r="Q44" i="19"/>
  <c r="R44" i="19" s="1"/>
  <c r="W44" i="19" s="1"/>
  <c r="Q46" i="19"/>
  <c r="R46" i="19" s="1"/>
  <c r="W46" i="19" s="1"/>
  <c r="Q49" i="19"/>
  <c r="R49" i="19" s="1"/>
  <c r="W49" i="19" s="1"/>
  <c r="Q43" i="19"/>
  <c r="R43" i="19" s="1"/>
  <c r="W43" i="19" s="1"/>
  <c r="Q47" i="19"/>
  <c r="R47" i="19" s="1"/>
  <c r="W47" i="19" s="1"/>
  <c r="Q32" i="19"/>
  <c r="R32" i="19" s="1"/>
  <c r="W32" i="19" s="1"/>
  <c r="Q35" i="19"/>
  <c r="R35" i="19" s="1"/>
  <c r="W35" i="19" s="1"/>
  <c r="Q38" i="19"/>
  <c r="R38" i="19" s="1"/>
  <c r="W38" i="19" s="1"/>
  <c r="Q31" i="19"/>
  <c r="R31" i="19" s="1"/>
  <c r="W31" i="19" s="1"/>
  <c r="Q34" i="19"/>
  <c r="R34" i="19" s="1"/>
  <c r="W34" i="19" s="1"/>
  <c r="Q36" i="19"/>
  <c r="R36" i="19" s="1"/>
  <c r="W36" i="19" s="1"/>
  <c r="Q39" i="19"/>
  <c r="R39" i="19" s="1"/>
  <c r="W39" i="19" s="1"/>
  <c r="Q33" i="19"/>
  <c r="R33" i="19" s="1"/>
  <c r="W33" i="19" s="1"/>
  <c r="Q37" i="19"/>
  <c r="R37" i="19" s="1"/>
  <c r="W37" i="19" s="1"/>
  <c r="Q26" i="19"/>
  <c r="R26" i="19" s="1"/>
  <c r="W26" i="19" s="1"/>
  <c r="Q27" i="19"/>
  <c r="R27" i="19" s="1"/>
  <c r="W27" i="19" s="1"/>
  <c r="Q21" i="19"/>
  <c r="R21" i="19" s="1"/>
  <c r="W21" i="19" s="1"/>
  <c r="K50" i="19"/>
  <c r="Q50" i="19"/>
  <c r="R50" i="19" s="1"/>
  <c r="W50" i="19" s="1"/>
  <c r="G419" i="22"/>
  <c r="G454" i="22"/>
  <c r="D454" i="22"/>
  <c r="F453" i="22"/>
  <c r="H453" i="22" s="1"/>
  <c r="F452" i="22"/>
  <c r="H452" i="22" s="1"/>
  <c r="F451" i="22"/>
  <c r="H451" i="22" s="1"/>
  <c r="E451" i="22"/>
  <c r="D450" i="22"/>
  <c r="F449" i="22"/>
  <c r="H449" i="22" s="1"/>
  <c r="F448" i="22"/>
  <c r="H448" i="22" s="1"/>
  <c r="F447" i="22"/>
  <c r="F450" i="22" s="1"/>
  <c r="H445" i="22"/>
  <c r="F445" i="22"/>
  <c r="H444" i="22"/>
  <c r="F444" i="22"/>
  <c r="E443" i="22"/>
  <c r="D443" i="22"/>
  <c r="F443" i="22" s="1"/>
  <c r="G442" i="22"/>
  <c r="D442" i="22"/>
  <c r="H441" i="22"/>
  <c r="F441" i="22"/>
  <c r="H440" i="22"/>
  <c r="F440" i="22"/>
  <c r="E439" i="22"/>
  <c r="F439" i="22" s="1"/>
  <c r="D438" i="22"/>
  <c r="F437" i="22"/>
  <c r="H437" i="22" s="1"/>
  <c r="G436" i="22"/>
  <c r="F436" i="22"/>
  <c r="H436" i="22" s="1"/>
  <c r="F435" i="22"/>
  <c r="F438" i="22" s="1"/>
  <c r="J393" i="22"/>
  <c r="AC62" i="19"/>
  <c r="AC14" i="19"/>
  <c r="I5" i="15"/>
  <c r="H3" i="15"/>
  <c r="H4" i="15"/>
  <c r="H5" i="15"/>
  <c r="H6" i="15"/>
  <c r="H2" i="15"/>
  <c r="S14" i="19" l="1"/>
  <c r="T14" i="19" s="1"/>
  <c r="U14" i="19" s="1"/>
  <c r="S16" i="19"/>
  <c r="S15" i="19"/>
  <c r="S61" i="19"/>
  <c r="S63" i="19"/>
  <c r="S62" i="19"/>
  <c r="S37" i="19"/>
  <c r="S39" i="19"/>
  <c r="S38" i="19"/>
  <c r="S26" i="19"/>
  <c r="S27" i="19"/>
  <c r="S50" i="19"/>
  <c r="T50" i="19" s="1"/>
  <c r="U50" i="19" s="1"/>
  <c r="H443" i="22"/>
  <c r="H446" i="22" s="1"/>
  <c r="F446" i="22"/>
  <c r="F442" i="22"/>
  <c r="H439" i="22"/>
  <c r="H442" i="22" s="1"/>
  <c r="H454" i="22"/>
  <c r="D446" i="22"/>
  <c r="D455" i="22" s="1"/>
  <c r="H447" i="22"/>
  <c r="H450" i="22" s="1"/>
  <c r="F454" i="22"/>
  <c r="F455" i="22" s="1"/>
  <c r="G435" i="22"/>
  <c r="T16" i="19" l="1"/>
  <c r="U16" i="19" s="1"/>
  <c r="T15" i="19"/>
  <c r="U15" i="19" s="1"/>
  <c r="T62" i="19"/>
  <c r="U62" i="19" s="1"/>
  <c r="T63" i="19"/>
  <c r="U63" i="19" s="1"/>
  <c r="T61" i="19"/>
  <c r="U61" i="19" s="1"/>
  <c r="T39" i="19"/>
  <c r="U39" i="19" s="1"/>
  <c r="T38" i="19"/>
  <c r="U38" i="19" s="1"/>
  <c r="T37" i="19"/>
  <c r="U37" i="19" s="1"/>
  <c r="T26" i="19"/>
  <c r="U26" i="19" s="1"/>
  <c r="T27" i="19"/>
  <c r="U27" i="19" s="1"/>
  <c r="G438" i="22"/>
  <c r="G455" i="22" s="1"/>
  <c r="H435" i="22"/>
  <c r="H438" i="22" s="1"/>
  <c r="H455" i="22" s="1"/>
  <c r="K49" i="19" l="1"/>
  <c r="S49" i="19" s="1"/>
  <c r="T49" i="19" s="1"/>
  <c r="U49" i="19" s="1"/>
  <c r="E49" i="19"/>
  <c r="E415" i="22" l="1"/>
  <c r="D415" i="22"/>
  <c r="E61" i="19"/>
  <c r="AU61" i="19" s="1"/>
  <c r="E37" i="19"/>
  <c r="AU37" i="19" s="1"/>
  <c r="E26" i="19"/>
  <c r="K13" i="19"/>
  <c r="E13" i="19"/>
  <c r="AU13" i="19" s="1"/>
  <c r="O25" i="19"/>
  <c r="P25" i="19" s="1"/>
  <c r="K25" i="19"/>
  <c r="AN25" i="19" s="1"/>
  <c r="E25" i="19"/>
  <c r="AU25" i="19" s="1"/>
  <c r="AN13" i="19" l="1"/>
  <c r="AT13" i="19" s="1"/>
  <c r="S13" i="19"/>
  <c r="Q25" i="19"/>
  <c r="R25" i="19" s="1"/>
  <c r="W25" i="19" s="1"/>
  <c r="T13" i="19" l="1"/>
  <c r="U13" i="19" s="1"/>
  <c r="S25" i="19"/>
  <c r="T25" i="19" s="1"/>
  <c r="U25" i="19" l="1"/>
  <c r="D422" i="22"/>
  <c r="D418" i="22"/>
  <c r="D343" i="22"/>
  <c r="D338" i="22"/>
  <c r="D335" i="22"/>
  <c r="D332" i="22"/>
  <c r="D326" i="22"/>
  <c r="E327" i="22"/>
  <c r="D390" i="22"/>
  <c r="D394" i="22"/>
  <c r="E411" i="22"/>
  <c r="F393" i="22" l="1"/>
  <c r="E60" i="19"/>
  <c r="G390" i="22" l="1"/>
  <c r="G382" i="22"/>
  <c r="G394" i="22"/>
  <c r="E423" i="22"/>
  <c r="G426" i="22"/>
  <c r="D426" i="22"/>
  <c r="F425" i="22"/>
  <c r="H425" i="22" s="1"/>
  <c r="F424" i="22"/>
  <c r="H424" i="22" s="1"/>
  <c r="F423" i="22"/>
  <c r="F421" i="22"/>
  <c r="H421" i="22" s="1"/>
  <c r="F420" i="22"/>
  <c r="H420" i="22" s="1"/>
  <c r="F419" i="22"/>
  <c r="F422" i="22" s="1"/>
  <c r="F417" i="22"/>
  <c r="H417" i="22" s="1"/>
  <c r="F416" i="22"/>
  <c r="F415" i="22"/>
  <c r="H415" i="22" s="1"/>
  <c r="G414" i="22"/>
  <c r="D414" i="22"/>
  <c r="F413" i="22"/>
  <c r="H413" i="22" s="1"/>
  <c r="F412" i="22"/>
  <c r="H412" i="22" s="1"/>
  <c r="F411" i="22"/>
  <c r="D410" i="22"/>
  <c r="F409" i="22"/>
  <c r="H409" i="22" s="1"/>
  <c r="F408" i="22"/>
  <c r="F407" i="22"/>
  <c r="G407" i="22" s="1"/>
  <c r="H407" i="22" s="1"/>
  <c r="G392" i="22"/>
  <c r="G391" i="22"/>
  <c r="E393" i="22"/>
  <c r="F418" i="22" l="1"/>
  <c r="D427" i="22"/>
  <c r="F414" i="22"/>
  <c r="F410" i="22"/>
  <c r="G408" i="22"/>
  <c r="G410" i="22" s="1"/>
  <c r="G427" i="22" s="1"/>
  <c r="H423" i="22"/>
  <c r="H426" i="22" s="1"/>
  <c r="F426" i="22"/>
  <c r="H416" i="22"/>
  <c r="H418" i="22" s="1"/>
  <c r="H419" i="22"/>
  <c r="H422" i="22" s="1"/>
  <c r="H411" i="22"/>
  <c r="H414" i="22" s="1"/>
  <c r="F427" i="22" l="1"/>
  <c r="H408" i="22"/>
  <c r="H410" i="22" s="1"/>
  <c r="H427" i="22" s="1"/>
  <c r="K36" i="19" l="1"/>
  <c r="K12" i="19"/>
  <c r="E12" i="19"/>
  <c r="AU12" i="19" s="1"/>
  <c r="K11" i="19"/>
  <c r="K48" i="19"/>
  <c r="E48" i="19"/>
  <c r="K47" i="19"/>
  <c r="S47" i="19" s="1"/>
  <c r="AN12" i="19" l="1"/>
  <c r="AT12" i="19" s="1"/>
  <c r="S12" i="19"/>
  <c r="T12" i="19" s="1"/>
  <c r="U12" i="19" s="1"/>
  <c r="AN11" i="19"/>
  <c r="AT11" i="19" s="1"/>
  <c r="S11" i="19"/>
  <c r="T47" i="19"/>
  <c r="U47" i="19" s="1"/>
  <c r="AN48" i="19"/>
  <c r="S48" i="19"/>
  <c r="AN36" i="19"/>
  <c r="AT36" i="19" s="1"/>
  <c r="S36" i="19"/>
  <c r="T36" i="19" s="1"/>
  <c r="U36" i="19" s="1"/>
  <c r="AU64" i="19"/>
  <c r="AU63" i="19"/>
  <c r="AU60" i="19"/>
  <c r="AU55" i="19"/>
  <c r="AU54" i="19"/>
  <c r="AU51" i="19"/>
  <c r="AU49" i="19"/>
  <c r="AU48" i="19"/>
  <c r="AU41" i="19"/>
  <c r="AU40" i="19"/>
  <c r="AU30" i="19"/>
  <c r="AU29" i="19"/>
  <c r="AU19" i="19"/>
  <c r="AU18" i="19"/>
  <c r="E11" i="19"/>
  <c r="AU11" i="19" s="1"/>
  <c r="E10" i="19"/>
  <c r="AU10" i="19" s="1"/>
  <c r="E9" i="19"/>
  <c r="AU9" i="19" s="1"/>
  <c r="E8" i="19"/>
  <c r="AU8" i="19" s="1"/>
  <c r="E7" i="19"/>
  <c r="AU7" i="19" s="1"/>
  <c r="E6" i="19"/>
  <c r="AU6" i="19" s="1"/>
  <c r="AU5" i="19"/>
  <c r="E24" i="19"/>
  <c r="AU24" i="19" s="1"/>
  <c r="E23" i="19"/>
  <c r="AU23" i="19" s="1"/>
  <c r="E22" i="19"/>
  <c r="AU22" i="19" s="1"/>
  <c r="E21" i="19"/>
  <c r="AU21" i="19" s="1"/>
  <c r="E20" i="19"/>
  <c r="AU20" i="19" s="1"/>
  <c r="E36" i="19"/>
  <c r="AU36" i="19" s="1"/>
  <c r="E35" i="19"/>
  <c r="AU35" i="19" s="1"/>
  <c r="E34" i="19"/>
  <c r="AU34" i="19" s="1"/>
  <c r="E33" i="19"/>
  <c r="AU33" i="19" s="1"/>
  <c r="E32" i="19"/>
  <c r="AU32" i="19" s="1"/>
  <c r="E31" i="19"/>
  <c r="AU31" i="19" s="1"/>
  <c r="E47" i="19"/>
  <c r="AU47" i="19" s="1"/>
  <c r="E46" i="19"/>
  <c r="AU46" i="19" s="1"/>
  <c r="E45" i="19"/>
  <c r="AU45" i="19" s="1"/>
  <c r="E44" i="19"/>
  <c r="AU44" i="19" s="1"/>
  <c r="E43" i="19"/>
  <c r="AU43" i="19" s="1"/>
  <c r="E42" i="19"/>
  <c r="AU42" i="19" s="1"/>
  <c r="E59" i="19"/>
  <c r="AU59" i="19" s="1"/>
  <c r="E58" i="19"/>
  <c r="AU58" i="19" s="1"/>
  <c r="E57" i="19"/>
  <c r="AU57" i="19" s="1"/>
  <c r="E56" i="19"/>
  <c r="AU56" i="19" s="1"/>
  <c r="K46" i="19"/>
  <c r="K35" i="19"/>
  <c r="K34" i="19"/>
  <c r="O24" i="19"/>
  <c r="P24" i="19" s="1"/>
  <c r="K24" i="19"/>
  <c r="AN24" i="19" s="1"/>
  <c r="AT24" i="19" s="1"/>
  <c r="O23" i="19"/>
  <c r="P23" i="19" s="1"/>
  <c r="K23" i="19"/>
  <c r="AN23" i="19" s="1"/>
  <c r="AT23" i="19" s="1"/>
  <c r="O10" i="19"/>
  <c r="P10" i="19" s="1"/>
  <c r="K10" i="19"/>
  <c r="AN10" i="19" s="1"/>
  <c r="AT10" i="19" s="1"/>
  <c r="E380" i="22"/>
  <c r="K380" i="22"/>
  <c r="AT48" i="19"/>
  <c r="E392" i="22"/>
  <c r="F392" i="22" s="1"/>
  <c r="H392" i="22" s="1"/>
  <c r="AT40" i="19"/>
  <c r="AT49" i="19"/>
  <c r="AT51" i="19"/>
  <c r="AT54" i="19"/>
  <c r="AT29" i="19"/>
  <c r="AN47" i="19"/>
  <c r="AT47" i="19" s="1"/>
  <c r="AJ43" i="19"/>
  <c r="AE43" i="19"/>
  <c r="AF33" i="19"/>
  <c r="AC34" i="19"/>
  <c r="AE22" i="19"/>
  <c r="T11" i="19" l="1"/>
  <c r="U11" i="19" s="1"/>
  <c r="AN34" i="19"/>
  <c r="AT34" i="19" s="1"/>
  <c r="S34" i="19"/>
  <c r="AN46" i="19"/>
  <c r="AT46" i="19" s="1"/>
  <c r="S46" i="19"/>
  <c r="T46" i="19" s="1"/>
  <c r="U46" i="19" s="1"/>
  <c r="T48" i="19"/>
  <c r="U48" i="19" s="1"/>
  <c r="AN35" i="19"/>
  <c r="AT35" i="19" s="1"/>
  <c r="S35" i="19"/>
  <c r="T35" i="19" s="1"/>
  <c r="U35" i="19" s="1"/>
  <c r="Q24" i="19"/>
  <c r="R24" i="19" s="1"/>
  <c r="W24" i="19" s="1"/>
  <c r="Q23" i="19"/>
  <c r="R23" i="19" s="1"/>
  <c r="W23" i="19" s="1"/>
  <c r="Q10" i="19"/>
  <c r="R10" i="19" s="1"/>
  <c r="W10" i="19" s="1"/>
  <c r="AS6" i="25"/>
  <c r="AR6" i="25"/>
  <c r="AQ6" i="25"/>
  <c r="AN6" i="25"/>
  <c r="AM6" i="25"/>
  <c r="AL6" i="25"/>
  <c r="AK6" i="25"/>
  <c r="AJ6" i="25"/>
  <c r="AI6" i="25"/>
  <c r="AT6" i="25" s="1"/>
  <c r="AH6" i="25"/>
  <c r="AG6" i="25"/>
  <c r="AF6" i="25"/>
  <c r="AE6" i="25"/>
  <c r="AC6" i="25"/>
  <c r="AB6" i="25"/>
  <c r="AP5" i="25"/>
  <c r="AO5" i="25"/>
  <c r="AP4" i="25"/>
  <c r="AO4" i="25"/>
  <c r="AN4" i="25"/>
  <c r="AP2" i="25"/>
  <c r="AO2" i="25"/>
  <c r="AN2" i="25"/>
  <c r="AM2" i="25"/>
  <c r="AP1" i="25"/>
  <c r="AO1" i="25"/>
  <c r="AN1" i="25"/>
  <c r="AM1" i="25"/>
  <c r="AL1" i="25"/>
  <c r="AK1" i="25"/>
  <c r="AJ1" i="25"/>
  <c r="AI1" i="25"/>
  <c r="AH1" i="25"/>
  <c r="AG1" i="25"/>
  <c r="AF1" i="25"/>
  <c r="AE1" i="25"/>
  <c r="AC1" i="25"/>
  <c r="AB1" i="25"/>
  <c r="O9" i="19"/>
  <c r="P9" i="19" s="1"/>
  <c r="K9" i="19"/>
  <c r="AN9" i="19" s="1"/>
  <c r="O22" i="19"/>
  <c r="P22" i="19" s="1"/>
  <c r="K22" i="19"/>
  <c r="AN22" i="19" s="1"/>
  <c r="AT22" i="19" s="1"/>
  <c r="K33" i="19"/>
  <c r="S10" i="19" l="1"/>
  <c r="T10" i="19" s="1"/>
  <c r="AN33" i="19"/>
  <c r="AT33" i="19" s="1"/>
  <c r="S33" i="19"/>
  <c r="S24" i="19"/>
  <c r="T24" i="19" s="1"/>
  <c r="T34" i="19"/>
  <c r="U34" i="19" s="1"/>
  <c r="S23" i="19"/>
  <c r="T23" i="19" s="1"/>
  <c r="Q9" i="19"/>
  <c r="R9" i="19" s="1"/>
  <c r="W9" i="19" s="1"/>
  <c r="Q22" i="19"/>
  <c r="R22" i="19" s="1"/>
  <c r="W22" i="19" s="1"/>
  <c r="U10" i="19" l="1"/>
  <c r="U24" i="19"/>
  <c r="U23" i="19"/>
  <c r="T33" i="19"/>
  <c r="U33" i="19" s="1"/>
  <c r="S22" i="19"/>
  <c r="T22" i="19" s="1"/>
  <c r="S9" i="19"/>
  <c r="T9" i="19" s="1"/>
  <c r="U9" i="19" l="1"/>
  <c r="U22" i="19"/>
  <c r="E395" i="22"/>
  <c r="E391" i="22"/>
  <c r="F391" i="22" s="1"/>
  <c r="F394" i="22" s="1"/>
  <c r="J386" i="22"/>
  <c r="J384" i="22"/>
  <c r="J383" i="22"/>
  <c r="K381" i="22"/>
  <c r="J380" i="22"/>
  <c r="J379" i="22"/>
  <c r="G398" i="22"/>
  <c r="D398" i="22"/>
  <c r="F397" i="22"/>
  <c r="H397" i="22" s="1"/>
  <c r="F396" i="22"/>
  <c r="H396" i="22" s="1"/>
  <c r="F395" i="22"/>
  <c r="H393" i="22"/>
  <c r="F389" i="22"/>
  <c r="H389" i="22" s="1"/>
  <c r="F388" i="22"/>
  <c r="H388" i="22" s="1"/>
  <c r="F387" i="22"/>
  <c r="H387" i="22" s="1"/>
  <c r="G386" i="22"/>
  <c r="D386" i="22"/>
  <c r="F385" i="22"/>
  <c r="H385" i="22" s="1"/>
  <c r="F384" i="22"/>
  <c r="H384" i="22" s="1"/>
  <c r="F383" i="22"/>
  <c r="D382" i="22"/>
  <c r="H381" i="22"/>
  <c r="F381" i="22"/>
  <c r="F380" i="22"/>
  <c r="G380" i="22" s="1"/>
  <c r="H380" i="22" s="1"/>
  <c r="F379" i="22"/>
  <c r="H354" i="22"/>
  <c r="H358" i="22"/>
  <c r="H366" i="22"/>
  <c r="F354" i="22"/>
  <c r="F358" i="22"/>
  <c r="F362" i="22"/>
  <c r="F366" i="22"/>
  <c r="D371" i="22"/>
  <c r="D366" i="22"/>
  <c r="F361" i="22"/>
  <c r="H361" i="22" s="1"/>
  <c r="D362" i="22"/>
  <c r="D358" i="22"/>
  <c r="D354" i="22"/>
  <c r="E368" i="22"/>
  <c r="AQ6" i="24"/>
  <c r="AN6" i="24"/>
  <c r="AM6" i="24"/>
  <c r="AL6" i="24"/>
  <c r="AK6" i="24"/>
  <c r="AJ6" i="24"/>
  <c r="AI6" i="24"/>
  <c r="AT6" i="24" s="1"/>
  <c r="AH6" i="24"/>
  <c r="AG6" i="24"/>
  <c r="AS6" i="24" s="1"/>
  <c r="AF6" i="24"/>
  <c r="AE6" i="24"/>
  <c r="AC6" i="24"/>
  <c r="AB6" i="24"/>
  <c r="AP5" i="24"/>
  <c r="AO5" i="24"/>
  <c r="AP4" i="24"/>
  <c r="AO4" i="24"/>
  <c r="AN4" i="24"/>
  <c r="AP2" i="24"/>
  <c r="AO2" i="24"/>
  <c r="AN2" i="24"/>
  <c r="AM2" i="24"/>
  <c r="AP1" i="24"/>
  <c r="AO1" i="24"/>
  <c r="AN1" i="24"/>
  <c r="AM1" i="24"/>
  <c r="AL1" i="24"/>
  <c r="AK1" i="24"/>
  <c r="AJ1" i="24"/>
  <c r="AI1" i="24"/>
  <c r="AH1" i="24"/>
  <c r="AG1" i="24"/>
  <c r="AF1" i="24"/>
  <c r="AE1" i="24"/>
  <c r="AC1" i="24"/>
  <c r="AB1" i="24"/>
  <c r="AV64" i="19"/>
  <c r="AS64" i="19"/>
  <c r="AN64" i="19"/>
  <c r="AL64" i="19"/>
  <c r="K64" i="19"/>
  <c r="AV63" i="19"/>
  <c r="AS63" i="19"/>
  <c r="AN63" i="19"/>
  <c r="AL63" i="19"/>
  <c r="AV60" i="19"/>
  <c r="AS60" i="19"/>
  <c r="AN60" i="19"/>
  <c r="AL60" i="19"/>
  <c r="K60" i="19"/>
  <c r="S60" i="19" s="1"/>
  <c r="T60" i="19" s="1"/>
  <c r="U60" i="19" s="1"/>
  <c r="AV59" i="19"/>
  <c r="AS59" i="19"/>
  <c r="AL59" i="19"/>
  <c r="K59" i="19"/>
  <c r="S59" i="19" s="1"/>
  <c r="T59" i="19" s="1"/>
  <c r="U59" i="19" s="1"/>
  <c r="AV58" i="19"/>
  <c r="AS58" i="19"/>
  <c r="AL58" i="19"/>
  <c r="K58" i="19"/>
  <c r="S58" i="19" s="1"/>
  <c r="K45" i="19"/>
  <c r="H365" i="22"/>
  <c r="H360" i="22"/>
  <c r="AL57" i="19"/>
  <c r="AS57" i="19"/>
  <c r="AV57" i="19"/>
  <c r="K57" i="19"/>
  <c r="K44" i="19"/>
  <c r="K32" i="19"/>
  <c r="K21" i="19"/>
  <c r="O8" i="19"/>
  <c r="P8" i="19" s="1"/>
  <c r="Q8" i="19" s="1"/>
  <c r="R8" i="19" s="1"/>
  <c r="W8" i="19" s="1"/>
  <c r="K8" i="19"/>
  <c r="AN8" i="19" s="1"/>
  <c r="AD57" i="19"/>
  <c r="AC9" i="19"/>
  <c r="G370" i="22"/>
  <c r="D370" i="22"/>
  <c r="F369" i="22"/>
  <c r="H369" i="22" s="1"/>
  <c r="F368" i="22"/>
  <c r="H368" i="22" s="1"/>
  <c r="F367" i="22"/>
  <c r="H367" i="22" s="1"/>
  <c r="F363" i="22"/>
  <c r="F360" i="22"/>
  <c r="J359" i="22"/>
  <c r="F359" i="22"/>
  <c r="H359" i="22" s="1"/>
  <c r="H362" i="22" s="1"/>
  <c r="F357" i="22"/>
  <c r="H357" i="22" s="1"/>
  <c r="F356" i="22"/>
  <c r="H356" i="22" s="1"/>
  <c r="F355" i="22"/>
  <c r="F353" i="22"/>
  <c r="H353" i="22" s="1"/>
  <c r="F352" i="22"/>
  <c r="G352" i="22" s="1"/>
  <c r="F351" i="22"/>
  <c r="AV9" i="19"/>
  <c r="AS9" i="19"/>
  <c r="AL9" i="19"/>
  <c r="E324" i="22"/>
  <c r="G333" i="22"/>
  <c r="G330" i="22"/>
  <c r="O7" i="19"/>
  <c r="P7" i="19" s="1"/>
  <c r="K7" i="19"/>
  <c r="AN7" i="19" s="1"/>
  <c r="AT7" i="19" s="1"/>
  <c r="O6" i="19"/>
  <c r="P6" i="19" s="1"/>
  <c r="K6" i="19"/>
  <c r="AN6" i="19" s="1"/>
  <c r="AT6" i="19" s="1"/>
  <c r="O20" i="19"/>
  <c r="P20" i="19" s="1"/>
  <c r="K20" i="19"/>
  <c r="AN20" i="19" s="1"/>
  <c r="AT20" i="19" s="1"/>
  <c r="K43" i="19"/>
  <c r="AN21" i="19" l="1"/>
  <c r="AT21" i="19" s="1"/>
  <c r="S21" i="19"/>
  <c r="T21" i="19" s="1"/>
  <c r="U21" i="19" s="1"/>
  <c r="AN44" i="19"/>
  <c r="AT44" i="19" s="1"/>
  <c r="S44" i="19"/>
  <c r="T58" i="19"/>
  <c r="U58" i="19" s="1"/>
  <c r="AN43" i="19"/>
  <c r="AT43" i="19" s="1"/>
  <c r="S43" i="19"/>
  <c r="T43" i="19" s="1"/>
  <c r="U43" i="19" s="1"/>
  <c r="AN57" i="19"/>
  <c r="S57" i="19"/>
  <c r="T57" i="19" s="1"/>
  <c r="U57" i="19" s="1"/>
  <c r="AN32" i="19"/>
  <c r="AT32" i="19" s="1"/>
  <c r="S32" i="19"/>
  <c r="T32" i="19" s="1"/>
  <c r="U32" i="19" s="1"/>
  <c r="AN45" i="19"/>
  <c r="AT45" i="19" s="1"/>
  <c r="S45" i="19"/>
  <c r="T45" i="19" s="1"/>
  <c r="U45" i="19" s="1"/>
  <c r="AT64" i="19"/>
  <c r="AT63" i="19"/>
  <c r="AT57" i="19"/>
  <c r="AN58" i="19"/>
  <c r="AT58" i="19" s="1"/>
  <c r="AN59" i="19"/>
  <c r="AT59" i="19" s="1"/>
  <c r="AT60" i="19"/>
  <c r="AT9" i="19"/>
  <c r="F382" i="22"/>
  <c r="F386" i="22"/>
  <c r="D399" i="22"/>
  <c r="G379" i="22"/>
  <c r="H379" i="22" s="1"/>
  <c r="H382" i="22" s="1"/>
  <c r="F398" i="22"/>
  <c r="F399" i="22" s="1"/>
  <c r="H395" i="22"/>
  <c r="H390" i="22"/>
  <c r="F390" i="22"/>
  <c r="H383" i="22"/>
  <c r="H386" i="22" s="1"/>
  <c r="H398" i="22"/>
  <c r="H391" i="22"/>
  <c r="H394" i="22" s="1"/>
  <c r="G363" i="22"/>
  <c r="H363" i="22" s="1"/>
  <c r="S8" i="19"/>
  <c r="T8" i="19" s="1"/>
  <c r="AR6" i="24"/>
  <c r="H355" i="22"/>
  <c r="F370" i="22"/>
  <c r="H352" i="22"/>
  <c r="G351" i="22"/>
  <c r="G354" i="22" s="1"/>
  <c r="J357" i="22"/>
  <c r="H370" i="22"/>
  <c r="G358" i="22"/>
  <c r="Q7" i="19"/>
  <c r="R7" i="19" s="1"/>
  <c r="W7" i="19" s="1"/>
  <c r="Q6" i="19"/>
  <c r="R6" i="19" s="1"/>
  <c r="W6" i="19" s="1"/>
  <c r="Q20" i="19"/>
  <c r="R20" i="19" s="1"/>
  <c r="W20" i="19" s="1"/>
  <c r="S6" i="19" l="1"/>
  <c r="T6" i="19" s="1"/>
  <c r="T44" i="19"/>
  <c r="U44" i="19" s="1"/>
  <c r="S7" i="19"/>
  <c r="T7" i="19" s="1"/>
  <c r="S20" i="19"/>
  <c r="T20" i="19" s="1"/>
  <c r="U20" i="19" s="1"/>
  <c r="U8" i="19"/>
  <c r="G399" i="22"/>
  <c r="H399" i="22"/>
  <c r="F371" i="22"/>
  <c r="G371" i="22"/>
  <c r="H351" i="22"/>
  <c r="U6" i="19" l="1"/>
  <c r="U7" i="19"/>
  <c r="H371" i="22"/>
  <c r="J338" i="22"/>
  <c r="J333" i="22"/>
  <c r="E333" i="22"/>
  <c r="O19" i="19"/>
  <c r="P19" i="19" s="1"/>
  <c r="K19" i="19"/>
  <c r="H337" i="22"/>
  <c r="K55" i="19"/>
  <c r="O55" i="19"/>
  <c r="P55" i="19" s="1"/>
  <c r="K42" i="19"/>
  <c r="AN42" i="19" l="1"/>
  <c r="AT42" i="19" s="1"/>
  <c r="S42" i="19"/>
  <c r="T42" i="19" s="1"/>
  <c r="U42" i="19" s="1"/>
  <c r="AN55" i="19"/>
  <c r="AT55" i="19" s="1"/>
  <c r="AN19" i="19"/>
  <c r="AT19" i="19" s="1"/>
  <c r="J339" i="22"/>
  <c r="Q19" i="19"/>
  <c r="R19" i="19" s="1"/>
  <c r="W19" i="19" s="1"/>
  <c r="Q55" i="19"/>
  <c r="R55" i="19" s="1"/>
  <c r="W55" i="19" s="1"/>
  <c r="S19" i="19" l="1"/>
  <c r="T19" i="19" s="1"/>
  <c r="U19" i="19" s="1"/>
  <c r="S55" i="19"/>
  <c r="T55" i="19" s="1"/>
  <c r="U55" i="19" l="1"/>
  <c r="E336" i="22"/>
  <c r="J19" i="15" l="1"/>
  <c r="O30" i="19" l="1"/>
  <c r="P30" i="19" s="1"/>
  <c r="O5" i="19"/>
  <c r="P5" i="19" s="1"/>
  <c r="K5" i="19"/>
  <c r="AN18" i="19" s="1"/>
  <c r="AT18" i="19" s="1"/>
  <c r="AN5" i="19" l="1"/>
  <c r="AT5" i="19" s="1"/>
  <c r="Q30" i="19"/>
  <c r="R30" i="19" s="1"/>
  <c r="W30" i="19" s="1"/>
  <c r="Q5" i="19"/>
  <c r="R5" i="19" s="1"/>
  <c r="S5" i="19" l="1"/>
  <c r="T5" i="19" s="1"/>
  <c r="U5" i="19" s="1"/>
  <c r="G342" i="22"/>
  <c r="D342" i="22"/>
  <c r="F341" i="22"/>
  <c r="H341" i="22" s="1"/>
  <c r="F340" i="22"/>
  <c r="H340" i="22" s="1"/>
  <c r="F339" i="22"/>
  <c r="F336" i="22"/>
  <c r="F334" i="22"/>
  <c r="H334" i="22" s="1"/>
  <c r="F333" i="22"/>
  <c r="F330" i="22"/>
  <c r="H330" i="22" s="1"/>
  <c r="F329" i="22"/>
  <c r="F328" i="22"/>
  <c r="H328" i="22" s="1"/>
  <c r="F327" i="22"/>
  <c r="H327" i="22" s="1"/>
  <c r="F325" i="22"/>
  <c r="H325" i="22" s="1"/>
  <c r="F324" i="22"/>
  <c r="H324" i="22" s="1"/>
  <c r="F323" i="22"/>
  <c r="F338" i="22" l="1"/>
  <c r="H336" i="22"/>
  <c r="G329" i="22"/>
  <c r="G332" i="22" s="1"/>
  <c r="F326" i="22"/>
  <c r="F342" i="22"/>
  <c r="H339" i="22"/>
  <c r="H342" i="22" s="1"/>
  <c r="F335" i="22"/>
  <c r="H333" i="22"/>
  <c r="J330" i="22" s="1"/>
  <c r="G323" i="22"/>
  <c r="G326" i="22" s="1"/>
  <c r="H323" i="22"/>
  <c r="H326" i="22" s="1"/>
  <c r="F332" i="22"/>
  <c r="F343" i="22" l="1"/>
  <c r="H329" i="22"/>
  <c r="H332" i="22" s="1"/>
  <c r="H335" i="22" s="1"/>
  <c r="H343" i="22" s="1"/>
  <c r="G343" i="22"/>
  <c r="O41" i="19"/>
  <c r="P41" i="19" s="1"/>
  <c r="K41" i="19"/>
  <c r="AT6" i="23"/>
  <c r="AQ6" i="23"/>
  <c r="AN6" i="23"/>
  <c r="AM6" i="23"/>
  <c r="AL6" i="23"/>
  <c r="AK6" i="23"/>
  <c r="AJ6" i="23"/>
  <c r="AR6" i="23" s="1"/>
  <c r="AI6" i="23"/>
  <c r="AH6" i="23"/>
  <c r="AG6" i="23"/>
  <c r="AS6" i="23" s="1"/>
  <c r="AF6" i="23"/>
  <c r="AE6" i="23"/>
  <c r="AC6" i="23"/>
  <c r="AB6" i="23"/>
  <c r="AP5" i="23"/>
  <c r="AO5" i="23"/>
  <c r="AP4" i="23"/>
  <c r="AO4" i="23"/>
  <c r="AN4" i="23"/>
  <c r="AP2" i="23"/>
  <c r="AO2" i="23"/>
  <c r="AN2" i="23"/>
  <c r="AM2" i="23"/>
  <c r="AP1" i="23"/>
  <c r="AO1" i="23"/>
  <c r="AN1" i="23"/>
  <c r="AM1" i="23"/>
  <c r="AL1" i="23"/>
  <c r="AK1" i="23"/>
  <c r="AJ1" i="23"/>
  <c r="AI1" i="23"/>
  <c r="AH1" i="23"/>
  <c r="AG1" i="23"/>
  <c r="AF1" i="23"/>
  <c r="AE1" i="23"/>
  <c r="AC1" i="23"/>
  <c r="AB1" i="23"/>
  <c r="AN41" i="19" l="1"/>
  <c r="AT41" i="19" s="1"/>
  <c r="Q41" i="19"/>
  <c r="R41" i="19" s="1"/>
  <c r="W41" i="19" s="1"/>
  <c r="D311" i="22"/>
  <c r="J310" i="22"/>
  <c r="E310" i="22"/>
  <c r="F310" i="22" s="1"/>
  <c r="H310" i="22" s="1"/>
  <c r="J309" i="22"/>
  <c r="E309" i="22"/>
  <c r="F309" i="22" s="1"/>
  <c r="F308" i="22"/>
  <c r="K307" i="22"/>
  <c r="G307" i="22"/>
  <c r="D307" i="22"/>
  <c r="J305" i="22"/>
  <c r="F305" i="22"/>
  <c r="H305" i="22" s="1"/>
  <c r="H307" i="22" s="1"/>
  <c r="G304" i="22"/>
  <c r="D304" i="22"/>
  <c r="H303" i="22"/>
  <c r="J302" i="22"/>
  <c r="E302" i="22"/>
  <c r="F302" i="22" s="1"/>
  <c r="D301" i="22"/>
  <c r="F300" i="22"/>
  <c r="H300" i="22" s="1"/>
  <c r="F299" i="22"/>
  <c r="H299" i="22" s="1"/>
  <c r="F298" i="22"/>
  <c r="H298" i="22" s="1"/>
  <c r="J297" i="22"/>
  <c r="E297" i="22"/>
  <c r="F297" i="22" s="1"/>
  <c r="D296" i="22"/>
  <c r="F295" i="22"/>
  <c r="H295" i="22" s="1"/>
  <c r="J294" i="22"/>
  <c r="K294" i="22" s="1"/>
  <c r="F294" i="22"/>
  <c r="H294" i="22" s="1"/>
  <c r="E293" i="22"/>
  <c r="J293" i="22" s="1"/>
  <c r="J287" i="22"/>
  <c r="J282" i="22"/>
  <c r="D282" i="22"/>
  <c r="F281" i="22"/>
  <c r="H281" i="22" s="1"/>
  <c r="F280" i="22"/>
  <c r="H280" i="22" s="1"/>
  <c r="J279" i="22"/>
  <c r="F279" i="22"/>
  <c r="D278" i="22"/>
  <c r="J276" i="22"/>
  <c r="E276" i="22"/>
  <c r="F276" i="22" s="1"/>
  <c r="L276" i="22" s="1"/>
  <c r="L278" i="22" s="1"/>
  <c r="L279" i="22" s="1"/>
  <c r="D275" i="22"/>
  <c r="F274" i="22"/>
  <c r="H274" i="22" s="1"/>
  <c r="J273" i="22"/>
  <c r="E273" i="22"/>
  <c r="F273" i="22" s="1"/>
  <c r="D272" i="22"/>
  <c r="F271" i="22"/>
  <c r="H271" i="22" s="1"/>
  <c r="F270" i="22"/>
  <c r="H270" i="22" s="1"/>
  <c r="F269" i="22"/>
  <c r="H269" i="22" s="1"/>
  <c r="F268" i="22"/>
  <c r="D267" i="22"/>
  <c r="F266" i="22"/>
  <c r="H266" i="22" s="1"/>
  <c r="K265" i="22"/>
  <c r="K266" i="22" s="1"/>
  <c r="F265" i="22"/>
  <c r="H265" i="22" s="1"/>
  <c r="J264" i="22"/>
  <c r="J265" i="22" s="1"/>
  <c r="F264" i="22"/>
  <c r="G264" i="22" s="1"/>
  <c r="H264" i="22" s="1"/>
  <c r="D256" i="22"/>
  <c r="D257" i="22" s="1"/>
  <c r="F255" i="22"/>
  <c r="H255" i="22" s="1"/>
  <c r="F254" i="22"/>
  <c r="H254" i="22" s="1"/>
  <c r="F253" i="22"/>
  <c r="G253" i="22" s="1"/>
  <c r="G256" i="22" s="1"/>
  <c r="E250" i="22"/>
  <c r="F250" i="22" s="1"/>
  <c r="H248" i="22"/>
  <c r="F247" i="22"/>
  <c r="H247" i="22" s="1"/>
  <c r="J246" i="22"/>
  <c r="E246" i="22"/>
  <c r="F246" i="22" s="1"/>
  <c r="F244" i="22"/>
  <c r="H244" i="22" s="1"/>
  <c r="F243" i="22"/>
  <c r="H243" i="22" s="1"/>
  <c r="J242" i="22"/>
  <c r="E242" i="22"/>
  <c r="F242" i="22" s="1"/>
  <c r="F240" i="22"/>
  <c r="H240" i="22" s="1"/>
  <c r="F239" i="22"/>
  <c r="H239" i="22" s="1"/>
  <c r="E238" i="22"/>
  <c r="F238" i="22" s="1"/>
  <c r="G238" i="22" s="1"/>
  <c r="G241" i="22" s="1"/>
  <c r="M236" i="22"/>
  <c r="I231" i="22"/>
  <c r="D227" i="22"/>
  <c r="D228" i="22" s="1"/>
  <c r="F226" i="22"/>
  <c r="H226" i="22" s="1"/>
  <c r="E225" i="22"/>
  <c r="L227" i="22" s="1"/>
  <c r="L228" i="22" s="1"/>
  <c r="L229" i="22" s="1"/>
  <c r="E224" i="22"/>
  <c r="F224" i="22" s="1"/>
  <c r="H222" i="22"/>
  <c r="J221" i="22"/>
  <c r="F221" i="22"/>
  <c r="H221" i="22" s="1"/>
  <c r="E220" i="22"/>
  <c r="F220" i="22" s="1"/>
  <c r="G220" i="22" s="1"/>
  <c r="G223" i="22" s="1"/>
  <c r="F218" i="22"/>
  <c r="H218" i="22" s="1"/>
  <c r="F217" i="22"/>
  <c r="H217" i="22" s="1"/>
  <c r="F216" i="22"/>
  <c r="H216" i="22" s="1"/>
  <c r="F215" i="22"/>
  <c r="F213" i="22"/>
  <c r="H213" i="22" s="1"/>
  <c r="F212" i="22"/>
  <c r="H212" i="22" s="1"/>
  <c r="J211" i="22"/>
  <c r="E211" i="22"/>
  <c r="F211" i="22" s="1"/>
  <c r="D201" i="22"/>
  <c r="F200" i="22"/>
  <c r="H200" i="22" s="1"/>
  <c r="J199" i="22"/>
  <c r="F199" i="22"/>
  <c r="G199" i="22" s="1"/>
  <c r="F198" i="22"/>
  <c r="G198" i="22" s="1"/>
  <c r="H196" i="22"/>
  <c r="F195" i="22"/>
  <c r="H195" i="22" s="1"/>
  <c r="G194" i="22"/>
  <c r="G197" i="22" s="1"/>
  <c r="E194" i="22"/>
  <c r="F194" i="22" s="1"/>
  <c r="D193" i="22"/>
  <c r="F192" i="22"/>
  <c r="H192" i="22" s="1"/>
  <c r="F191" i="22"/>
  <c r="H191" i="22" s="1"/>
  <c r="E190" i="22"/>
  <c r="F190" i="22" s="1"/>
  <c r="E189" i="22"/>
  <c r="F189" i="22" s="1"/>
  <c r="D188" i="22"/>
  <c r="F187" i="22"/>
  <c r="H187" i="22" s="1"/>
  <c r="F186" i="22"/>
  <c r="H186" i="22" s="1"/>
  <c r="E185" i="22"/>
  <c r="F185" i="22" s="1"/>
  <c r="D176" i="22"/>
  <c r="F175" i="22"/>
  <c r="H175" i="22" s="1"/>
  <c r="F174" i="22"/>
  <c r="H174" i="22" s="1"/>
  <c r="E173" i="22"/>
  <c r="F173" i="22" s="1"/>
  <c r="H171" i="22"/>
  <c r="F170" i="22"/>
  <c r="H170" i="22" s="1"/>
  <c r="G169" i="22"/>
  <c r="G172" i="22" s="1"/>
  <c r="E169" i="22"/>
  <c r="F169" i="22" s="1"/>
  <c r="D168" i="22"/>
  <c r="F167" i="22"/>
  <c r="H167" i="22" s="1"/>
  <c r="F166" i="22"/>
  <c r="H166" i="22" s="1"/>
  <c r="F165" i="22"/>
  <c r="H165" i="22" s="1"/>
  <c r="F164" i="22"/>
  <c r="D163" i="22"/>
  <c r="F162" i="22"/>
  <c r="H162" i="22" s="1"/>
  <c r="F161" i="22"/>
  <c r="H161" i="22" s="1"/>
  <c r="J160" i="22"/>
  <c r="J161" i="22" s="1"/>
  <c r="E160" i="22"/>
  <c r="F160" i="22" s="1"/>
  <c r="D150" i="22"/>
  <c r="F149" i="22"/>
  <c r="H149" i="22" s="1"/>
  <c r="F148" i="22"/>
  <c r="H148" i="22" s="1"/>
  <c r="E147" i="22"/>
  <c r="F147" i="22" s="1"/>
  <c r="G147" i="22" s="1"/>
  <c r="G150" i="22" s="1"/>
  <c r="H145" i="22"/>
  <c r="F144" i="22"/>
  <c r="H144" i="22" s="1"/>
  <c r="E143" i="22"/>
  <c r="F143" i="22" s="1"/>
  <c r="D142" i="22"/>
  <c r="F141" i="22"/>
  <c r="H141" i="22" s="1"/>
  <c r="F140" i="22"/>
  <c r="H140" i="22" s="1"/>
  <c r="F139" i="22"/>
  <c r="E138" i="22"/>
  <c r="J138" i="22" s="1"/>
  <c r="D137" i="22"/>
  <c r="F136" i="22"/>
  <c r="H136" i="22" s="1"/>
  <c r="F135" i="22"/>
  <c r="H135" i="22" s="1"/>
  <c r="F134" i="22"/>
  <c r="D122" i="22"/>
  <c r="F121" i="22"/>
  <c r="H121" i="22" s="1"/>
  <c r="F120" i="22"/>
  <c r="H120" i="22" s="1"/>
  <c r="E119" i="22"/>
  <c r="F119" i="22" s="1"/>
  <c r="D118" i="22"/>
  <c r="H117" i="22"/>
  <c r="F116" i="22"/>
  <c r="H116" i="22" s="1"/>
  <c r="F115" i="22"/>
  <c r="G115" i="22" s="1"/>
  <c r="G118" i="22" s="1"/>
  <c r="D114" i="22"/>
  <c r="F113" i="22"/>
  <c r="H113" i="22" s="1"/>
  <c r="F112" i="22"/>
  <c r="H112" i="22" s="1"/>
  <c r="F111" i="22"/>
  <c r="H111" i="22" s="1"/>
  <c r="J110" i="22"/>
  <c r="E110" i="22"/>
  <c r="F110" i="22" s="1"/>
  <c r="D109" i="22"/>
  <c r="F108" i="22"/>
  <c r="H108" i="22" s="1"/>
  <c r="F107" i="22"/>
  <c r="F106" i="22"/>
  <c r="G106" i="22" s="1"/>
  <c r="G109" i="22" s="1"/>
  <c r="D96" i="22"/>
  <c r="F95" i="22"/>
  <c r="H95" i="22" s="1"/>
  <c r="F94" i="22"/>
  <c r="H94" i="22" s="1"/>
  <c r="F93" i="22"/>
  <c r="J91" i="22"/>
  <c r="H91" i="22"/>
  <c r="F90" i="22"/>
  <c r="H90" i="22" s="1"/>
  <c r="J89" i="22"/>
  <c r="E89" i="22"/>
  <c r="F89" i="22" s="1"/>
  <c r="D88" i="22"/>
  <c r="F87" i="22"/>
  <c r="H87" i="22" s="1"/>
  <c r="F86" i="22"/>
  <c r="H86" i="22" s="1"/>
  <c r="E85" i="22"/>
  <c r="F85" i="22" s="1"/>
  <c r="F84" i="22"/>
  <c r="D83" i="22"/>
  <c r="F82" i="22"/>
  <c r="H82" i="22" s="1"/>
  <c r="F81" i="22"/>
  <c r="H81" i="22" s="1"/>
  <c r="E80" i="22"/>
  <c r="F80" i="22" s="1"/>
  <c r="D72" i="22"/>
  <c r="F71" i="22"/>
  <c r="H71" i="22" s="1"/>
  <c r="F70" i="22"/>
  <c r="H70" i="22" s="1"/>
  <c r="E69" i="22"/>
  <c r="F69" i="22" s="1"/>
  <c r="F68" i="22"/>
  <c r="D68" i="22"/>
  <c r="H67" i="22"/>
  <c r="H66" i="22"/>
  <c r="G65" i="22"/>
  <c r="G68" i="22" s="1"/>
  <c r="D64" i="22"/>
  <c r="F63" i="22"/>
  <c r="H63" i="22" s="1"/>
  <c r="F62" i="22"/>
  <c r="H62" i="22" s="1"/>
  <c r="E61" i="22"/>
  <c r="F61" i="22" s="1"/>
  <c r="E60" i="22"/>
  <c r="F60" i="22" s="1"/>
  <c r="D59" i="22"/>
  <c r="H58" i="22"/>
  <c r="E57" i="22"/>
  <c r="F57" i="22" s="1"/>
  <c r="F56" i="22"/>
  <c r="G45" i="22"/>
  <c r="G46" i="22" s="1"/>
  <c r="D45" i="22"/>
  <c r="D46" i="22" s="1"/>
  <c r="F44" i="22"/>
  <c r="H44" i="22" s="1"/>
  <c r="F43" i="22"/>
  <c r="H42" i="22"/>
  <c r="H40" i="22"/>
  <c r="H39" i="22"/>
  <c r="E38" i="22"/>
  <c r="F38" i="22" s="1"/>
  <c r="H36" i="22"/>
  <c r="H35" i="22"/>
  <c r="H34" i="22"/>
  <c r="E33" i="22"/>
  <c r="F33" i="22" s="1"/>
  <c r="H31" i="22"/>
  <c r="F30" i="22"/>
  <c r="G30" i="22" s="1"/>
  <c r="H30" i="22" s="1"/>
  <c r="G20" i="22"/>
  <c r="G21" i="22" s="1"/>
  <c r="D20" i="22"/>
  <c r="F19" i="22"/>
  <c r="H19" i="22" s="1"/>
  <c r="F18" i="22"/>
  <c r="H17" i="22"/>
  <c r="H15" i="22"/>
  <c r="H14" i="22"/>
  <c r="E13" i="22"/>
  <c r="F13" i="22" s="1"/>
  <c r="H13" i="22" s="1"/>
  <c r="H11" i="22"/>
  <c r="H10" i="22"/>
  <c r="H9" i="22"/>
  <c r="H8" i="22"/>
  <c r="D7" i="22"/>
  <c r="H6" i="22"/>
  <c r="F5" i="22"/>
  <c r="AQ6" i="20"/>
  <c r="AN6" i="20"/>
  <c r="AM6" i="20"/>
  <c r="AL6" i="20"/>
  <c r="AK6" i="20"/>
  <c r="AJ6" i="20"/>
  <c r="AI6" i="20"/>
  <c r="AT6" i="20" s="1"/>
  <c r="AH6" i="20"/>
  <c r="AG6" i="20"/>
  <c r="AS6" i="20" s="1"/>
  <c r="AF6" i="20"/>
  <c r="AE6" i="20"/>
  <c r="AC6" i="20"/>
  <c r="AB6" i="20"/>
  <c r="AP5" i="20"/>
  <c r="AO5" i="20"/>
  <c r="AP4" i="20"/>
  <c r="AO4" i="20"/>
  <c r="AN4" i="20"/>
  <c r="AP2" i="20"/>
  <c r="AO2" i="20"/>
  <c r="AN2" i="20"/>
  <c r="AM2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C1" i="20"/>
  <c r="AB1" i="20"/>
  <c r="S41" i="19" l="1"/>
  <c r="T41" i="19" s="1"/>
  <c r="F20" i="22"/>
  <c r="F21" i="22" s="1"/>
  <c r="D312" i="22"/>
  <c r="D151" i="22"/>
  <c r="F45" i="22"/>
  <c r="F46" i="22" s="1"/>
  <c r="D97" i="22"/>
  <c r="F109" i="22"/>
  <c r="D177" i="22"/>
  <c r="D283" i="22"/>
  <c r="F172" i="22"/>
  <c r="H169" i="22"/>
  <c r="F272" i="22"/>
  <c r="F282" i="22"/>
  <c r="D73" i="22"/>
  <c r="F219" i="22"/>
  <c r="F275" i="22"/>
  <c r="F301" i="22"/>
  <c r="D21" i="22"/>
  <c r="H43" i="22"/>
  <c r="F96" i="22"/>
  <c r="D123" i="22"/>
  <c r="H115" i="22"/>
  <c r="H118" i="22" s="1"/>
  <c r="AR6" i="20"/>
  <c r="H12" i="22"/>
  <c r="H16" i="22"/>
  <c r="H32" i="22"/>
  <c r="G224" i="22"/>
  <c r="H224" i="22"/>
  <c r="F304" i="22"/>
  <c r="H302" i="22"/>
  <c r="H304" i="22" s="1"/>
  <c r="H172" i="22"/>
  <c r="G201" i="22"/>
  <c r="F307" i="22"/>
  <c r="H107" i="22"/>
  <c r="H199" i="22"/>
  <c r="F225" i="22"/>
  <c r="H267" i="22"/>
  <c r="F267" i="22"/>
  <c r="G297" i="22"/>
  <c r="G301" i="22" s="1"/>
  <c r="G5" i="22"/>
  <c r="H5" i="22" s="1"/>
  <c r="H7" i="22" s="1"/>
  <c r="G93" i="22"/>
  <c r="G96" i="22" s="1"/>
  <c r="G279" i="22"/>
  <c r="G282" i="22" s="1"/>
  <c r="F138" i="22"/>
  <c r="F142" i="22" s="1"/>
  <c r="F201" i="22"/>
  <c r="G268" i="22"/>
  <c r="G272" i="22" s="1"/>
  <c r="F293" i="22"/>
  <c r="G61" i="22"/>
  <c r="H61" i="22" s="1"/>
  <c r="G69" i="22"/>
  <c r="G72" i="22" s="1"/>
  <c r="F72" i="22"/>
  <c r="G80" i="22"/>
  <c r="G83" i="22" s="1"/>
  <c r="F83" i="22"/>
  <c r="F88" i="22"/>
  <c r="G85" i="22"/>
  <c r="G88" i="22" s="1"/>
  <c r="F92" i="22"/>
  <c r="G89" i="22"/>
  <c r="G92" i="22" s="1"/>
  <c r="H45" i="22"/>
  <c r="G60" i="22"/>
  <c r="F64" i="22"/>
  <c r="G119" i="22"/>
  <c r="G122" i="22" s="1"/>
  <c r="F122" i="22"/>
  <c r="G33" i="22"/>
  <c r="H33" i="22" s="1"/>
  <c r="H37" i="22" s="1"/>
  <c r="G38" i="22"/>
  <c r="H38" i="22" s="1"/>
  <c r="H41" i="22" s="1"/>
  <c r="G56" i="22"/>
  <c r="G57" i="22"/>
  <c r="H57" i="22" s="1"/>
  <c r="F59" i="22"/>
  <c r="H65" i="22"/>
  <c r="H68" i="22" s="1"/>
  <c r="H84" i="22"/>
  <c r="J90" i="22"/>
  <c r="H93" i="22"/>
  <c r="H96" i="22" s="1"/>
  <c r="G134" i="22"/>
  <c r="G137" i="22" s="1"/>
  <c r="G138" i="22"/>
  <c r="H138" i="22" s="1"/>
  <c r="H147" i="22"/>
  <c r="H150" i="22" s="1"/>
  <c r="F163" i="22"/>
  <c r="G246" i="22"/>
  <c r="G249" i="22" s="1"/>
  <c r="F256" i="22"/>
  <c r="J300" i="22"/>
  <c r="G309" i="22"/>
  <c r="H309" i="22" s="1"/>
  <c r="F168" i="22"/>
  <c r="G164" i="22"/>
  <c r="G168" i="22" s="1"/>
  <c r="F197" i="22"/>
  <c r="H194" i="22"/>
  <c r="H197" i="22" s="1"/>
  <c r="F223" i="22"/>
  <c r="H220" i="22"/>
  <c r="H223" i="22" s="1"/>
  <c r="K264" i="22"/>
  <c r="L266" i="22" s="1"/>
  <c r="G267" i="22"/>
  <c r="H18" i="22"/>
  <c r="H106" i="22"/>
  <c r="G139" i="22"/>
  <c r="H139" i="22" s="1"/>
  <c r="F146" i="22"/>
  <c r="G143" i="22"/>
  <c r="G146" i="22" s="1"/>
  <c r="G160" i="22"/>
  <c r="G163" i="22" s="1"/>
  <c r="F176" i="22"/>
  <c r="G173" i="22"/>
  <c r="G176" i="22" s="1"/>
  <c r="D202" i="22"/>
  <c r="H198" i="22"/>
  <c r="H201" i="22" s="1"/>
  <c r="H238" i="22"/>
  <c r="H241" i="22" s="1"/>
  <c r="F249" i="22"/>
  <c r="F278" i="22"/>
  <c r="K277" i="22"/>
  <c r="G276" i="22"/>
  <c r="G278" i="22" s="1"/>
  <c r="G190" i="22"/>
  <c r="H190" i="22" s="1"/>
  <c r="F214" i="22"/>
  <c r="G211" i="22"/>
  <c r="H211" i="22" s="1"/>
  <c r="H214" i="22" s="1"/>
  <c r="G250" i="22"/>
  <c r="H250" i="22" s="1"/>
  <c r="G273" i="22"/>
  <c r="G275" i="22" s="1"/>
  <c r="F114" i="22"/>
  <c r="G110" i="22"/>
  <c r="G114" i="22" s="1"/>
  <c r="G123" i="22" s="1"/>
  <c r="F137" i="22"/>
  <c r="G185" i="22"/>
  <c r="G188" i="22" s="1"/>
  <c r="F188" i="22"/>
  <c r="G189" i="22"/>
  <c r="F193" i="22"/>
  <c r="G242" i="22"/>
  <c r="G245" i="22" s="1"/>
  <c r="F245" i="22"/>
  <c r="F118" i="22"/>
  <c r="K225" i="22"/>
  <c r="F241" i="22"/>
  <c r="H253" i="22"/>
  <c r="H256" i="22" s="1"/>
  <c r="F150" i="22"/>
  <c r="F227" i="22"/>
  <c r="G308" i="22"/>
  <c r="H308" i="22" s="1"/>
  <c r="F311" i="22"/>
  <c r="G215" i="22"/>
  <c r="U41" i="19" l="1"/>
  <c r="F283" i="22"/>
  <c r="H268" i="22"/>
  <c r="H272" i="22" s="1"/>
  <c r="G193" i="22"/>
  <c r="G202" i="22" s="1"/>
  <c r="H109" i="22"/>
  <c r="G257" i="22"/>
  <c r="H134" i="22"/>
  <c r="H137" i="22" s="1"/>
  <c r="H297" i="22"/>
  <c r="J307" i="22" s="1"/>
  <c r="H311" i="22"/>
  <c r="H279" i="22"/>
  <c r="H282" i="22" s="1"/>
  <c r="F73" i="22"/>
  <c r="G64" i="22"/>
  <c r="G177" i="22"/>
  <c r="G59" i="22"/>
  <c r="F123" i="22"/>
  <c r="F228" i="22"/>
  <c r="H89" i="22"/>
  <c r="H92" i="22" s="1"/>
  <c r="G225" i="22"/>
  <c r="H225" i="22" s="1"/>
  <c r="F257" i="22"/>
  <c r="H189" i="22"/>
  <c r="H193" i="22" s="1"/>
  <c r="H110" i="22"/>
  <c r="H114" i="22" s="1"/>
  <c r="H143" i="22"/>
  <c r="H146" i="22" s="1"/>
  <c r="J18" i="22"/>
  <c r="H164" i="22"/>
  <c r="H168" i="22" s="1"/>
  <c r="H160" i="22"/>
  <c r="H163" i="22" s="1"/>
  <c r="H80" i="22"/>
  <c r="H83" i="22" s="1"/>
  <c r="F296" i="22"/>
  <c r="F312" i="22" s="1"/>
  <c r="G293" i="22"/>
  <c r="H46" i="22"/>
  <c r="J46" i="22" s="1"/>
  <c r="F151" i="22"/>
  <c r="F152" i="22" s="1"/>
  <c r="H142" i="22"/>
  <c r="F202" i="22"/>
  <c r="H273" i="22"/>
  <c r="H275" i="22" s="1"/>
  <c r="H276" i="22"/>
  <c r="H278" i="22" s="1"/>
  <c r="H173" i="22"/>
  <c r="F177" i="22"/>
  <c r="H85" i="22"/>
  <c r="H88" i="22" s="1"/>
  <c r="G214" i="22"/>
  <c r="K211" i="22"/>
  <c r="K212" i="22" s="1"/>
  <c r="K214" i="22" s="1"/>
  <c r="H20" i="22"/>
  <c r="H21" i="22" s="1"/>
  <c r="F97" i="22"/>
  <c r="G219" i="22"/>
  <c r="H215" i="22"/>
  <c r="H219" i="22" s="1"/>
  <c r="G311" i="22"/>
  <c r="H242" i="22"/>
  <c r="H245" i="22" s="1"/>
  <c r="H185" i="22"/>
  <c r="H188" i="22" s="1"/>
  <c r="G283" i="22"/>
  <c r="H246" i="22"/>
  <c r="H249" i="22" s="1"/>
  <c r="G142" i="22"/>
  <c r="G151" i="22" s="1"/>
  <c r="H119" i="22"/>
  <c r="H122" i="22" s="1"/>
  <c r="H60" i="22"/>
  <c r="H64" i="22" s="1"/>
  <c r="H56" i="22"/>
  <c r="H59" i="22" s="1"/>
  <c r="G97" i="22"/>
  <c r="H69" i="22"/>
  <c r="H72" i="22" s="1"/>
  <c r="G227" i="22" l="1"/>
  <c r="H123" i="22"/>
  <c r="H283" i="22"/>
  <c r="H301" i="22"/>
  <c r="H151" i="22"/>
  <c r="H202" i="22"/>
  <c r="H257" i="22"/>
  <c r="G73" i="22"/>
  <c r="J227" i="22"/>
  <c r="K227" i="22" s="1"/>
  <c r="K228" i="22" s="1"/>
  <c r="H227" i="22"/>
  <c r="H228" i="22" s="1"/>
  <c r="L225" i="22"/>
  <c r="H97" i="22"/>
  <c r="G296" i="22"/>
  <c r="G312" i="22" s="1"/>
  <c r="K295" i="22"/>
  <c r="H293" i="22"/>
  <c r="H296" i="22" s="1"/>
  <c r="H73" i="22"/>
  <c r="G228" i="22"/>
  <c r="H176" i="22"/>
  <c r="H177" i="22" s="1"/>
  <c r="J173" i="22"/>
  <c r="H312" i="22" l="1"/>
  <c r="AV30" i="19"/>
  <c r="AS30" i="19"/>
  <c r="AL30" i="19"/>
  <c r="K30" i="19"/>
  <c r="S30" i="19" l="1"/>
  <c r="AN30" i="19"/>
  <c r="AT30" i="19" s="1"/>
  <c r="T30" i="19" l="1"/>
  <c r="U30" i="19" s="1"/>
  <c r="A7" i="25" l="1" a="1"/>
  <c r="AV56" i="19"/>
  <c r="AS56" i="19"/>
  <c r="AL56" i="19"/>
  <c r="K56" i="19"/>
  <c r="S56" i="19" s="1"/>
  <c r="AQ6" i="17"/>
  <c r="AN6" i="17"/>
  <c r="AM6" i="17"/>
  <c r="AL6" i="17"/>
  <c r="AK6" i="17"/>
  <c r="AJ6" i="17"/>
  <c r="AI6" i="17"/>
  <c r="AH6" i="17"/>
  <c r="AG6" i="17"/>
  <c r="AS6" i="17" s="1"/>
  <c r="AF6" i="17"/>
  <c r="AE6" i="17"/>
  <c r="AC6" i="17"/>
  <c r="AB6" i="17"/>
  <c r="AP5" i="17"/>
  <c r="AO5" i="17"/>
  <c r="AP4" i="17"/>
  <c r="AO4" i="17"/>
  <c r="AN4" i="17"/>
  <c r="AP2" i="17"/>
  <c r="AO2" i="17"/>
  <c r="AN2" i="17"/>
  <c r="AM2" i="17"/>
  <c r="AP1" i="17"/>
  <c r="AO1" i="17"/>
  <c r="AN1" i="17"/>
  <c r="AM1" i="17"/>
  <c r="AL1" i="17"/>
  <c r="AK1" i="17"/>
  <c r="AJ1" i="17"/>
  <c r="AI1" i="17"/>
  <c r="AH1" i="17"/>
  <c r="AG1" i="17"/>
  <c r="AF1" i="17"/>
  <c r="AE1" i="17"/>
  <c r="AC1" i="17"/>
  <c r="AB1" i="17"/>
  <c r="AV31" i="19"/>
  <c r="AS31" i="19"/>
  <c r="AL31" i="19"/>
  <c r="K31" i="19"/>
  <c r="S31" i="19" s="1"/>
  <c r="T31" i="19" s="1"/>
  <c r="U31" i="19" s="1"/>
  <c r="AS8" i="19"/>
  <c r="AL8" i="19"/>
  <c r="AT4" i="19"/>
  <c r="AS4" i="19"/>
  <c r="AR4" i="19"/>
  <c r="AQ4" i="19"/>
  <c r="AP4" i="19"/>
  <c r="AO4" i="19"/>
  <c r="AN4" i="19"/>
  <c r="AM4" i="19"/>
  <c r="AL4" i="19"/>
  <c r="AK4" i="19"/>
  <c r="AI4" i="19"/>
  <c r="AH4" i="19"/>
  <c r="AT3" i="19"/>
  <c r="AV2" i="19"/>
  <c r="AU2" i="19"/>
  <c r="AT2" i="19"/>
  <c r="AV1" i="19"/>
  <c r="AU1" i="19"/>
  <c r="AT1" i="19"/>
  <c r="AS1" i="19"/>
  <c r="T19" i="15"/>
  <c r="T18" i="15"/>
  <c r="U17" i="15"/>
  <c r="T17" i="15"/>
  <c r="T11" i="15"/>
  <c r="T13" i="15" s="1"/>
  <c r="T21" i="15" s="1"/>
  <c r="O17" i="15"/>
  <c r="O18" i="15"/>
  <c r="O19" i="15"/>
  <c r="P17" i="15"/>
  <c r="O11" i="15"/>
  <c r="O13" i="15" s="1"/>
  <c r="O21" i="15" s="1"/>
  <c r="AT8" i="19" l="1"/>
  <c r="T56" i="19"/>
  <c r="U56" i="19" s="1"/>
  <c r="AN31" i="19"/>
  <c r="AT31" i="19" s="1"/>
  <c r="AN56" i="19"/>
  <c r="AT56" i="19" s="1"/>
  <c r="L34" i="25"/>
  <c r="O35" i="25"/>
  <c r="I34" i="25"/>
  <c r="C35" i="25"/>
  <c r="A7" i="25"/>
  <c r="C33" i="25"/>
  <c r="O34" i="25"/>
  <c r="I35" i="25"/>
  <c r="F35" i="25"/>
  <c r="L35" i="25"/>
  <c r="L33" i="25"/>
  <c r="F33" i="25"/>
  <c r="O33" i="25"/>
  <c r="C34" i="25"/>
  <c r="I33" i="25"/>
  <c r="F34" i="25"/>
  <c r="AT6" i="17"/>
  <c r="AR6" i="17"/>
  <c r="F36" i="25" l="1"/>
  <c r="O36" i="25"/>
  <c r="G39" i="25"/>
  <c r="I36" i="25"/>
  <c r="C36" i="25"/>
  <c r="G38" i="25"/>
  <c r="A7" i="24" a="1"/>
  <c r="C34" i="24" s="1"/>
  <c r="L36" i="25"/>
  <c r="A7" i="23" l="1" a="1"/>
  <c r="A7" i="23" s="1"/>
  <c r="G40" i="25"/>
  <c r="I34" i="24"/>
  <c r="O34" i="24"/>
  <c r="L34" i="24"/>
  <c r="L33" i="24"/>
  <c r="L35" i="24"/>
  <c r="C35" i="24"/>
  <c r="C36" i="24" s="1"/>
  <c r="F34" i="24"/>
  <c r="C33" i="24"/>
  <c r="F35" i="24"/>
  <c r="O33" i="24"/>
  <c r="F33" i="24"/>
  <c r="A7" i="24"/>
  <c r="O35" i="24"/>
  <c r="I33" i="24"/>
  <c r="I35" i="24"/>
  <c r="A7" i="20" a="1"/>
  <c r="A7" i="20" s="1"/>
  <c r="A7" i="17" a="1"/>
  <c r="A7" i="17" s="1"/>
  <c r="O28" i="23" l="1"/>
  <c r="I27" i="23"/>
  <c r="F28" i="23"/>
  <c r="L28" i="23"/>
  <c r="O29" i="23"/>
  <c r="L29" i="23"/>
  <c r="L27" i="23"/>
  <c r="O27" i="23"/>
  <c r="C28" i="23"/>
  <c r="C29" i="23"/>
  <c r="F27" i="23"/>
  <c r="I29" i="23"/>
  <c r="F29" i="23"/>
  <c r="I28" i="23"/>
  <c r="C27" i="23"/>
  <c r="I36" i="24"/>
  <c r="G38" i="24"/>
  <c r="L36" i="24"/>
  <c r="O36" i="24"/>
  <c r="F36" i="24"/>
  <c r="G39" i="24"/>
  <c r="I28" i="20"/>
  <c r="O29" i="20"/>
  <c r="O28" i="20"/>
  <c r="F29" i="20"/>
  <c r="I27" i="20"/>
  <c r="C29" i="20"/>
  <c r="L29" i="20"/>
  <c r="I29" i="20"/>
  <c r="C28" i="20"/>
  <c r="C27" i="20"/>
  <c r="F27" i="20"/>
  <c r="L28" i="20"/>
  <c r="F28" i="20"/>
  <c r="L27" i="20"/>
  <c r="O27" i="20"/>
  <c r="C28" i="17"/>
  <c r="I29" i="17"/>
  <c r="I28" i="17"/>
  <c r="F27" i="17"/>
  <c r="I27" i="17"/>
  <c r="O28" i="17"/>
  <c r="L29" i="17"/>
  <c r="F29" i="17"/>
  <c r="L28" i="17"/>
  <c r="F28" i="17"/>
  <c r="C29" i="17"/>
  <c r="O29" i="17"/>
  <c r="L27" i="17"/>
  <c r="C27" i="17"/>
  <c r="O27" i="17"/>
  <c r="O30" i="23" l="1"/>
  <c r="F30" i="23"/>
  <c r="L30" i="23"/>
  <c r="I30" i="23"/>
  <c r="C30" i="23"/>
  <c r="G32" i="23"/>
  <c r="G33" i="23"/>
  <c r="G40" i="24"/>
  <c r="O30" i="20"/>
  <c r="L30" i="20"/>
  <c r="F30" i="20"/>
  <c r="I30" i="20"/>
  <c r="G33" i="20"/>
  <c r="C30" i="20"/>
  <c r="G32" i="20"/>
  <c r="I30" i="17"/>
  <c r="O30" i="17"/>
  <c r="F30" i="17"/>
  <c r="C30" i="17"/>
  <c r="G32" i="17"/>
  <c r="L30" i="17"/>
  <c r="G33" i="17"/>
  <c r="G34" i="23" l="1"/>
  <c r="G34" i="20"/>
  <c r="G34" i="17"/>
  <c r="E5" i="15" l="1"/>
  <c r="J18" i="15"/>
  <c r="J17" i="15"/>
  <c r="T15" i="15" l="1"/>
  <c r="T22" i="15" s="1"/>
  <c r="T23" i="15" s="1"/>
  <c r="J15" i="15"/>
  <c r="O15" i="15"/>
  <c r="O22" i="15" s="1"/>
  <c r="O23" i="15" s="1"/>
  <c r="J11" i="15"/>
  <c r="J13" i="15" s="1"/>
  <c r="J21" i="15" l="1"/>
  <c r="J22" i="15" l="1"/>
  <c r="J2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C5" authorId="0" shapeId="0" xr:uid="{93FADC6A-9C07-4BC8-B471-7763979560B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
</t>
        </r>
      </text>
    </comment>
    <comment ref="AD6" authorId="0" shapeId="0" xr:uid="{7C63DD2D-4773-4329-AEBB-66460B89D38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7" authorId="0" shapeId="0" xr:uid="{E4B4CCF6-607F-4280-A736-470A529DF95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8" authorId="0" shapeId="0" xr:uid="{A4993FE6-1AAC-4A96-B184-449708C735B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8" authorId="0" shapeId="0" xr:uid="{1E8B58AB-2868-41F0-A717-DFDCB18757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9" authorId="0" shapeId="0" xr:uid="{BCF3EDB5-38F4-49CE-A85E-0F7406FB28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10" authorId="0" shapeId="0" xr:uid="{A7074997-B2A6-4187-9527-B24F9446289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10" authorId="0" shapeId="0" xr:uid="{004BC13F-3575-41B0-8D10-A2E04F684A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Hâu
'</t>
        </r>
      </text>
    </comment>
    <comment ref="AC11" authorId="0" shapeId="0" xr:uid="{F06C3286-576A-4D6D-99D1-FBD419A326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19" authorId="0" shapeId="0" xr:uid="{4BC4C978-D2BF-45C8-938A-9BCB02048A4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20" authorId="0" shapeId="0" xr:uid="{7BD819A8-1C13-4131-B6EF-832F4B9030E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20" authorId="0" shapeId="0" xr:uid="{3C0606A7-8F18-440E-92FD-A058A38BB35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AC21" authorId="0" shapeId="0" xr:uid="{1C243604-41EC-4205-8683-A11494257C8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Urgen sea</t>
        </r>
      </text>
    </comment>
    <comment ref="AC22" authorId="0" shapeId="0" xr:uid="{ACD95232-2298-4A56-B72C-F3D9A91CD2F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22" authorId="0" shapeId="0" xr:uid="{256FE94E-74E6-4B1B-9437-2E67BE3EDCB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23" authorId="0" shapeId="0" xr:uid="{4A5F142A-0ABF-42F6-9103-1D312A9D01C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24" authorId="0" shapeId="0" xr:uid="{29DA4961-08A0-4B91-A88E-18375EACE16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24" authorId="0" shapeId="0" xr:uid="{4D526ADE-FDE8-4C63-B6BA-35384DDB225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Hâuuj</t>
        </r>
      </text>
    </comment>
    <comment ref="AC25" authorId="0" shapeId="0" xr:uid="{397D9EDD-8E3F-4038-B819-9D2018C746E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Hâuuj</t>
        </r>
      </text>
    </comment>
    <comment ref="AC30" authorId="0" shapeId="0" xr:uid="{E2D864B7-ED62-4F9F-954E-5D364CF94EB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Phạm</t>
        </r>
      </text>
    </comment>
    <comment ref="AD30" authorId="0" shapeId="0" xr:uid="{20E370E3-3A60-4C0F-A261-25140F564A4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31" authorId="0" shapeId="0" xr:uid="{D2D4C2AA-E60E-4DA8-8E3C-E3D26B2A576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32" authorId="0" shapeId="0" xr:uid="{46628B49-8468-43DA-AC64-8E6FAE9386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32" authorId="0" shapeId="0" xr:uid="{98CDA16B-1DE2-436B-8BF1-259920D2705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33" authorId="0" shapeId="0" xr:uid="{40A2208C-C961-4FEB-BA81-170922B29CF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D33" authorId="0" shapeId="0" xr:uid="{03D6F971-3C48-4535-B484-41339B7AED7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QT Xanh</t>
        </r>
      </text>
    </comment>
    <comment ref="AC34" authorId="0" shapeId="0" xr:uid="{46A6817D-EB0B-42A6-A949-1F67D7786FE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34" authorId="0" shapeId="0" xr:uid="{87B99CF0-C458-47B1-8091-97F85B56F78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35" authorId="0" shapeId="0" xr:uid="{7F51087C-4E57-4A1B-99B5-6618E8549DD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D36" authorId="0" shapeId="0" xr:uid="{47F8C55D-864A-483F-9CE5-4D7840BEAAD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37" authorId="0" shapeId="0" xr:uid="{EC8D4910-6F5C-4983-AE80-00BFB18D119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
</t>
        </r>
      </text>
    </comment>
    <comment ref="AC41" authorId="0" shapeId="0" xr:uid="{12F93CD9-D57F-4B6B-AEF7-E3AE1BCF4AD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LE PHAM
</t>
        </r>
      </text>
    </comment>
    <comment ref="AD41" authorId="0" shapeId="0" xr:uid="{A9EAF117-2418-49D9-9704-2C76A2FA209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AC42" authorId="0" shapeId="0" xr:uid="{14F24C8D-9DA2-485C-A569-74BC60B6B3B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D43" authorId="0" shapeId="0" xr:uid="{B0A3CA60-00B8-4C0B-897D-4F5A2276BE2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44" authorId="0" shapeId="0" xr:uid="{F9A51233-88BE-46E9-BCA7-0892590509C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Song Hau</t>
        </r>
      </text>
    </comment>
    <comment ref="AC45" authorId="0" shapeId="0" xr:uid="{845CD7D9-B172-438A-9CF5-E77C079701C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45" authorId="0" shapeId="0" xr:uid="{C1921870-FBDF-45E8-8120-0D9CD65426E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46" authorId="0" shapeId="0" xr:uid="{BC276C00-33B0-4D80-8FD7-D4728AD06EA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Sông Hậu</t>
        </r>
      </text>
    </comment>
    <comment ref="AC48" authorId="0" shapeId="0" xr:uid="{E7F1F949-FFB4-4076-9FC9-EE97E9A5B6B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AC55" authorId="0" shapeId="0" xr:uid="{E3E2005C-BC5C-4B88-AAE3-B61A90CA37A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Agence</t>
        </r>
      </text>
    </comment>
    <comment ref="AD56" authorId="0" shapeId="0" xr:uid="{CAD8E3D7-B9F7-4094-A8C8-F84A0BC3BC0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 Shine
</t>
        </r>
      </text>
    </comment>
    <comment ref="AC57" authorId="0" shapeId="0" xr:uid="{B500FFC7-1EE0-4CBF-B2CF-D5712A92386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
</t>
        </r>
      </text>
    </comment>
    <comment ref="AD57" authorId="0" shapeId="0" xr:uid="{FA19B8A7-0D11-46C5-B47C-01658D9A1B8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Nova</t>
        </r>
      </text>
    </comment>
    <comment ref="AD58" authorId="0" shapeId="0" xr:uid="{9F31E0CF-9450-473A-8F2D-46B3A9BDF84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AC59" authorId="0" shapeId="0" xr:uid="{E78262D5-4BC4-45FE-8B35-FA189CD0D8D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Lê phạm</t>
        </r>
      </text>
    </comment>
    <comment ref="AD59" authorId="0" shapeId="0" xr:uid="{56BD9364-8813-4F21-BC9E-96192A262B1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  <comment ref="AC60" authorId="0" shapeId="0" xr:uid="{7D0283D5-2C66-4CCC-8617-E42C0891E2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Sunshine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<sst xmlns="http://schemas.openxmlformats.org/spreadsheetml/2006/main" count="1473" uniqueCount="278">
  <si>
    <t>VG09</t>
  </si>
  <si>
    <t>VG36</t>
  </si>
  <si>
    <t>VG05</t>
  </si>
  <si>
    <t>Tên tàu</t>
  </si>
  <si>
    <t>Tên hàng</t>
  </si>
  <si>
    <t>Cảng xếp</t>
  </si>
  <si>
    <t>Cảng dỡ</t>
  </si>
  <si>
    <t>Khối lượng
 tính cước</t>
  </si>
  <si>
    <t>Thành tiền</t>
  </si>
  <si>
    <t>Đơn vị</t>
  </si>
  <si>
    <t>Tiền gửi</t>
  </si>
  <si>
    <t>VG15</t>
  </si>
  <si>
    <t>Số 
hóa đơn</t>
  </si>
  <si>
    <t>Ngày
 xếp</t>
  </si>
  <si>
    <t>Chân Mây</t>
  </si>
  <si>
    <t>Hòn La</t>
  </si>
  <si>
    <t>HCM</t>
  </si>
  <si>
    <t>Xỉ</t>
  </si>
  <si>
    <t>Tổng cộng</t>
  </si>
  <si>
    <t>Thực tế</t>
  </si>
  <si>
    <t>Số tiền phải trả gửi giá</t>
  </si>
  <si>
    <t>Thuế gửi</t>
  </si>
  <si>
    <t>(3=1*2)</t>
  </si>
  <si>
    <t>Chênh lệch
sau thuế</t>
  </si>
  <si>
    <t>Sơn Dương</t>
  </si>
  <si>
    <t>(7=1*6)</t>
  </si>
  <si>
    <t>(9=7+8)</t>
  </si>
  <si>
    <t>(10=9-3)</t>
  </si>
  <si>
    <t>(12=10-11)</t>
  </si>
  <si>
    <t>Gỗ</t>
  </si>
  <si>
    <t>Hải Phòng</t>
  </si>
  <si>
    <t>Clinker</t>
  </si>
  <si>
    <t>VAT 8%</t>
  </si>
  <si>
    <t>(11=10/1.08*tỉ lệ thuế gửi)</t>
  </si>
  <si>
    <t>(8=7*8%)</t>
  </si>
  <si>
    <t>Hậu Giang</t>
  </si>
  <si>
    <t>Vĩnh Xương</t>
  </si>
  <si>
    <t>Cát</t>
  </si>
  <si>
    <t>Cửa Lò</t>
  </si>
  <si>
    <t>Đà Nẵng</t>
  </si>
  <si>
    <t>Cần Thơ</t>
  </si>
  <si>
    <t>Dung Quất</t>
  </si>
  <si>
    <t>Ngày dỡ</t>
  </si>
  <si>
    <t>Ngày xuất hoá đơn</t>
  </si>
  <si>
    <t>Đại lý cảng xếp</t>
  </si>
  <si>
    <t>Đại lý cảng dỡ</t>
  </si>
  <si>
    <t>Tàu chi cảng xếp</t>
  </si>
  <si>
    <t>Tàu chi cảng dỡ</t>
  </si>
  <si>
    <t>Hoa Tiêu</t>
  </si>
  <si>
    <t>Tàu lai dắt</t>
  </si>
  <si>
    <t>Dầu DO</t>
  </si>
  <si>
    <t>Dầu LO</t>
  </si>
  <si>
    <t>Tiền Bông</t>
  </si>
  <si>
    <t>Tiền lương</t>
  </si>
  <si>
    <t xml:space="preserve">Tiền ăn uống </t>
  </si>
  <si>
    <t>Tàu chi</t>
  </si>
  <si>
    <t>Tiền VAT</t>
  </si>
  <si>
    <t>Bảo hiểm</t>
  </si>
  <si>
    <t>Doanh thu</t>
  </si>
  <si>
    <t>Chi phí</t>
  </si>
  <si>
    <t>Chi phí khác</t>
  </si>
  <si>
    <t>Chuyến</t>
  </si>
  <si>
    <t>Ngọc Anh</t>
  </si>
  <si>
    <t>Hoàng Quyên</t>
  </si>
  <si>
    <t>Phí cầu bến</t>
  </si>
  <si>
    <t>VG18</t>
  </si>
  <si>
    <t>Than</t>
  </si>
  <si>
    <t>Vũng Áng</t>
  </si>
  <si>
    <t>KẾT QUẢ KINH DOANH KHAI THÁC</t>
  </si>
  <si>
    <t>Số ngày</t>
  </si>
  <si>
    <t>Tàu</t>
  </si>
  <si>
    <t>Tiền ăn</t>
  </si>
  <si>
    <t>Tiền bảo hiểm</t>
  </si>
  <si>
    <t>Trọng tải</t>
  </si>
  <si>
    <t>Đơn giá</t>
  </si>
  <si>
    <t>Doanh thu có VAT</t>
  </si>
  <si>
    <t>VAT</t>
  </si>
  <si>
    <t>Tiền ăn, lương, bảo hiểm</t>
  </si>
  <si>
    <t>Lợi nhuận</t>
  </si>
  <si>
    <t>Chi Phí</t>
  </si>
  <si>
    <t>Chi phí cảng xếp</t>
  </si>
  <si>
    <t>Chi phí cảng dỡ</t>
  </si>
  <si>
    <t>Cảng</t>
  </si>
  <si>
    <t>Đại lý</t>
  </si>
  <si>
    <t>Hoa tiêu</t>
  </si>
  <si>
    <t>Quảng Ninh</t>
  </si>
  <si>
    <t>Long An</t>
  </si>
  <si>
    <t>Tổng</t>
  </si>
  <si>
    <t>Huy Văn HD</t>
  </si>
  <si>
    <t>Nghi Sơn</t>
  </si>
  <si>
    <t>Nghi Thiết</t>
  </si>
  <si>
    <t>Quy Nhơn</t>
  </si>
  <si>
    <t>Cam Ranh</t>
  </si>
  <si>
    <t>Vĩnh Tân</t>
  </si>
  <si>
    <t>Vũng Tàu</t>
  </si>
  <si>
    <t>Trà Vinh</t>
  </si>
  <si>
    <t>An Giang/Gạo</t>
  </si>
  <si>
    <t>Dầu Do (lit/h)</t>
  </si>
  <si>
    <t>C1</t>
  </si>
  <si>
    <t>BẢNG THEO DÕI CẤP D0</t>
  </si>
  <si>
    <t>THÁNG 01/2025</t>
  </si>
  <si>
    <t>TÀU</t>
  </si>
  <si>
    <t>NGÀY CẤP</t>
  </si>
  <si>
    <t>ĐỊA ĐIỂM</t>
  </si>
  <si>
    <t>SỐ LƯỢNG</t>
  </si>
  <si>
    <t>ĐƠN GIÁ</t>
  </si>
  <si>
    <t>THÀNH TIỀN</t>
  </si>
  <si>
    <t>THANH TOÁN</t>
  </si>
  <si>
    <t>CÒN NỢ</t>
  </si>
  <si>
    <t>ĐV CẤP</t>
  </si>
  <si>
    <t>vissai- nghệ an</t>
  </si>
  <si>
    <t>hồng minh</t>
  </si>
  <si>
    <t>Cộng</t>
  </si>
  <si>
    <t>13/01</t>
  </si>
  <si>
    <t>sơn dương</t>
  </si>
  <si>
    <t>TỔNG CỘNG</t>
  </si>
  <si>
    <t>THÁNG 02/2025</t>
  </si>
  <si>
    <t>16/2</t>
  </si>
  <si>
    <t>NM Thành năm</t>
  </si>
  <si>
    <t>petro times</t>
  </si>
  <si>
    <t>19/2</t>
  </si>
  <si>
    <t>THÁNG 03/2025</t>
  </si>
  <si>
    <t>14/03</t>
  </si>
  <si>
    <t>khu neo Ô tượng</t>
  </si>
  <si>
    <t>trả 29/3</t>
  </si>
  <si>
    <t>18/03</t>
  </si>
  <si>
    <t>23/03</t>
  </si>
  <si>
    <t>neo Nghi sơn</t>
  </si>
  <si>
    <t>S-core VN</t>
  </si>
  <si>
    <t>31/03</t>
  </si>
  <si>
    <t>Hải phòng</t>
  </si>
  <si>
    <t>chân mây</t>
  </si>
  <si>
    <t>THÁNG 04/2025</t>
  </si>
  <si>
    <t>14/4</t>
  </si>
  <si>
    <t>cửa lò</t>
  </si>
  <si>
    <t>24/4</t>
  </si>
  <si>
    <t>nghi sơn</t>
  </si>
  <si>
    <t>29/4</t>
  </si>
  <si>
    <t>hải phòng</t>
  </si>
  <si>
    <t>THÁNG 05/2025</t>
  </si>
  <si>
    <t>16/05</t>
  </si>
  <si>
    <t>THÁNG 06/2025</t>
  </si>
  <si>
    <t>nhà bè</t>
  </si>
  <si>
    <t>THÁNG 07/2025</t>
  </si>
  <si>
    <t>Thịnh An</t>
  </si>
  <si>
    <t>THÁNG 08/2025</t>
  </si>
  <si>
    <t>hòn la</t>
  </si>
  <si>
    <t>thịnh an</t>
  </si>
  <si>
    <t>THÁNG 09/2025</t>
  </si>
  <si>
    <t>hồng vân</t>
  </si>
  <si>
    <t>thịnh an hạn 4/10</t>
  </si>
  <si>
    <t>*8</t>
  </si>
  <si>
    <t>hồng minh hạn 12/10</t>
  </si>
  <si>
    <t>*10</t>
  </si>
  <si>
    <t>THÁNG 10/2025</t>
  </si>
  <si>
    <t>THÁNG 11/2025</t>
  </si>
  <si>
    <t>THÁNG 12/2025</t>
  </si>
  <si>
    <t>Thái Bình Dương</t>
  </si>
  <si>
    <t>C2</t>
  </si>
  <si>
    <t>Số giờ chạy biển</t>
  </si>
  <si>
    <t>Tháng</t>
  </si>
  <si>
    <t>Thực tế (Đơn giá
đã có VAT )</t>
  </si>
  <si>
    <t>Hóa đơn (Giá chưa VAT
/1.08)</t>
  </si>
  <si>
    <t>Thành tiền2</t>
  </si>
  <si>
    <t>Vật tư (Công ty cấp)</t>
  </si>
  <si>
    <t>Vật tư (Tàu chi)</t>
  </si>
  <si>
    <t>Số chuyến</t>
  </si>
  <si>
    <t>Tổng cộng chi phí</t>
  </si>
  <si>
    <t>Tổng hợp kết quả kinh doanh tháng 11</t>
  </si>
  <si>
    <t>Doanh thu tổng hợp</t>
  </si>
  <si>
    <t>Chi phí tổng hợp</t>
  </si>
  <si>
    <t>Lợi nhuận tổng hợp</t>
  </si>
  <si>
    <t>Long an</t>
  </si>
  <si>
    <t>Thịnh an</t>
  </si>
  <si>
    <t>hcm</t>
  </si>
  <si>
    <t>cảng chân mây</t>
  </si>
  <si>
    <t>hậu giang</t>
  </si>
  <si>
    <t>C3</t>
  </si>
  <si>
    <t>C4</t>
  </si>
  <si>
    <t>Quặng</t>
  </si>
  <si>
    <t>Tổng hợp kết quả kinh doanh tháng 12</t>
  </si>
  <si>
    <t>khu neo Cần thơ</t>
  </si>
  <si>
    <t>Thành Năm</t>
  </si>
  <si>
    <t>thịnh an hạn 25/10</t>
  </si>
  <si>
    <t>Chân mây</t>
  </si>
  <si>
    <t>Đà nẵng</t>
  </si>
  <si>
    <t>dầu khí đà nẵng</t>
  </si>
  <si>
    <t>phao Bảo Mai, ĐT</t>
  </si>
  <si>
    <t>petrotimes</t>
  </si>
  <si>
    <t>khu neo Cái Cui</t>
  </si>
  <si>
    <t>gò gia</t>
  </si>
  <si>
    <t>5/1</t>
  </si>
  <si>
    <t>Cái Cui - Cần Thơ</t>
  </si>
  <si>
    <t>Cước vận chuyển</t>
  </si>
  <si>
    <t>Cảng vụ vào cầu</t>
  </si>
  <si>
    <t>8/1/2026</t>
  </si>
  <si>
    <t>Pvoil</t>
  </si>
  <si>
    <t xml:space="preserve">Xỉ </t>
  </si>
  <si>
    <t>7/1</t>
  </si>
  <si>
    <t>THÁNG 1/2026</t>
  </si>
  <si>
    <t>Tro ẩm</t>
  </si>
  <si>
    <t>18/1/2026</t>
  </si>
  <si>
    <t>Hồng Vân</t>
  </si>
  <si>
    <t>19/1/2026</t>
  </si>
  <si>
    <t>petrotime</t>
  </si>
  <si>
    <t>Hoàng Khải</t>
  </si>
  <si>
    <t>16/1</t>
  </si>
  <si>
    <t>20/1</t>
  </si>
  <si>
    <t>22/1/2026</t>
  </si>
  <si>
    <t>14/1/2026</t>
  </si>
  <si>
    <t>LO Nhất Minh Sơn</t>
  </si>
  <si>
    <t>15/1/2026</t>
  </si>
  <si>
    <t>21/1</t>
  </si>
  <si>
    <t>27/1/2026</t>
  </si>
  <si>
    <t>26/1</t>
  </si>
  <si>
    <t>Bình Minh</t>
  </si>
  <si>
    <t>28/1</t>
  </si>
  <si>
    <t>Hiệp Phước</t>
  </si>
  <si>
    <t>Số Ngày</t>
  </si>
  <si>
    <t>28/1/2026</t>
  </si>
  <si>
    <t>THÁNG 2/2026</t>
  </si>
  <si>
    <t>Nam Vân Phong</t>
  </si>
  <si>
    <t>C5</t>
  </si>
  <si>
    <t>Đường</t>
  </si>
  <si>
    <t>Phú Mỹ</t>
  </si>
  <si>
    <t>Việt Anh</t>
  </si>
  <si>
    <t>Hồng Minh</t>
  </si>
  <si>
    <t>Petrotime</t>
  </si>
  <si>
    <t>23/2/2026</t>
  </si>
  <si>
    <t>Vật Cách</t>
  </si>
  <si>
    <t>23/1</t>
  </si>
  <si>
    <t>Tổng hợp kết quả kinh doanh tháng 1/2026</t>
  </si>
  <si>
    <t>C6</t>
  </si>
  <si>
    <t xml:space="preserve">Quặng </t>
  </si>
  <si>
    <t>25/2/2026</t>
  </si>
  <si>
    <t>Trà  Nóc</t>
  </si>
  <si>
    <t>THÁNG 3/2026</t>
  </si>
  <si>
    <t>Nhà Bè</t>
  </si>
  <si>
    <t>Tổng hợp kết quả kinh doanh tháng 2/2026</t>
  </si>
  <si>
    <t>13/3/2026</t>
  </si>
  <si>
    <t>Tiên Sa</t>
  </si>
  <si>
    <t>An Khang</t>
  </si>
  <si>
    <t>Phí ngoài</t>
  </si>
  <si>
    <t>26/3/2026</t>
  </si>
  <si>
    <t>22/3/2026</t>
  </si>
  <si>
    <t>Cliker</t>
  </si>
  <si>
    <t>C7</t>
  </si>
  <si>
    <t>XM Tây Đô</t>
  </si>
  <si>
    <t>Clkiner</t>
  </si>
  <si>
    <t>Khối lượng dầu</t>
  </si>
  <si>
    <t>C8</t>
  </si>
  <si>
    <t>Gò Da</t>
  </si>
  <si>
    <t>30/3/2026</t>
  </si>
  <si>
    <t>Cảng Cá</t>
  </si>
  <si>
    <t>THÁNG 4/2026</t>
  </si>
  <si>
    <t>Gò Dầu</t>
  </si>
  <si>
    <t>Tôn Cuộn</t>
  </si>
  <si>
    <t xml:space="preserve">Đà Nẵng </t>
  </si>
  <si>
    <t>C9</t>
  </si>
  <si>
    <t>13/4/2026</t>
  </si>
  <si>
    <t>16/4/2026</t>
  </si>
  <si>
    <t>Cần thơ</t>
  </si>
  <si>
    <t>24/4/2026</t>
  </si>
  <si>
    <t>25/4/2026</t>
  </si>
  <si>
    <t>C10</t>
  </si>
  <si>
    <t>C11</t>
  </si>
  <si>
    <t>C12</t>
  </si>
  <si>
    <t>Huy Văn</t>
  </si>
  <si>
    <t>Row Labels</t>
  </si>
  <si>
    <t>(blank)</t>
  </si>
  <si>
    <t>Grand Total</t>
  </si>
  <si>
    <t>Sum of Số tiền phải trả gửi giá</t>
  </si>
  <si>
    <t>Công nợ</t>
  </si>
  <si>
    <t>Hết tháng  14.5</t>
  </si>
  <si>
    <t>Tháng 5</t>
  </si>
  <si>
    <t>Tháng 6</t>
  </si>
  <si>
    <t>Sum of Công nợ</t>
  </si>
  <si>
    <t>Hoá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</si>
</sst>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?_);_(@_)"/>
    <numFmt numFmtId="167" formatCode="_(* #,##0.0000_);_(* \(#,##0.0000\);_(* &quot;-&quot;??_);_(@_)"/>
    <numFmt numFmtId="168" formatCode="mm/dd"/>
    <numFmt numFmtId="169" formatCode="m/d/yy\ h:mm;@"/>
    <numFmt numFmtId="170" formatCode="dd/mm"/>
    <numFmt numFmtId="171" formatCode="dd/mm/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1"/>
      <color theme="0"/>
      <name val="Times New Roman"/>
      <family val="1"/>
    </font>
    <font>
      <sz val="28"/>
      <color theme="1"/>
      <name val="Times New Roman"/>
      <family val="1"/>
    </font>
    <font>
      <sz val="11"/>
      <color rgb="FFFF000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theme="4" tint="0.59999389629810485"/>
      </patternFill>
    </fill>
    <fill>
      <patternFill patternType="solid">
        <fgColor rgb="FF92D050"/>
        <bgColor theme="4" tint="0.59999389629810485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59999389629810485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theme="4" tint="0.59999389629810485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1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164" fontId="2" fillId="0" borderId="0" xfId="0" applyNumberFormat="1" applyFont="1"/>
    <xf numFmtId="164" fontId="2" fillId="0" borderId="0" xfId="1" applyNumberFormat="1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0" borderId="0" xfId="1" applyNumberFormat="1" applyFont="1"/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2" fillId="2" borderId="14" xfId="1" applyNumberFormat="1" applyFont="1" applyFill="1" applyBorder="1"/>
    <xf numFmtId="0" fontId="2" fillId="2" borderId="0" xfId="0" applyFont="1" applyFill="1"/>
    <xf numFmtId="169" fontId="2" fillId="2" borderId="0" xfId="0" applyNumberFormat="1" applyFont="1" applyFill="1"/>
    <xf numFmtId="0" fontId="3" fillId="0" borderId="1" xfId="0" applyFont="1" applyBorder="1"/>
    <xf numFmtId="164" fontId="3" fillId="0" borderId="1" xfId="1" applyNumberFormat="1" applyFont="1" applyBorder="1"/>
    <xf numFmtId="0" fontId="11" fillId="0" borderId="0" xfId="0" applyFont="1"/>
    <xf numFmtId="170" fontId="11" fillId="0" borderId="0" xfId="0" applyNumberFormat="1" applyFont="1"/>
    <xf numFmtId="164" fontId="11" fillId="0" borderId="0" xfId="1" applyNumberFormat="1" applyFont="1"/>
    <xf numFmtId="170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/>
    </xf>
    <xf numFmtId="0" fontId="11" fillId="0" borderId="2" xfId="0" applyFont="1" applyBorder="1"/>
    <xf numFmtId="164" fontId="11" fillId="0" borderId="2" xfId="1" applyNumberFormat="1" applyFont="1" applyBorder="1"/>
    <xf numFmtId="164" fontId="11" fillId="0" borderId="2" xfId="0" applyNumberFormat="1" applyFont="1" applyBorder="1"/>
    <xf numFmtId="0" fontId="11" fillId="0" borderId="3" xfId="0" applyFont="1" applyBorder="1"/>
    <xf numFmtId="14" fontId="11" fillId="0" borderId="2" xfId="0" applyNumberFormat="1" applyFont="1" applyBorder="1" applyAlignment="1">
      <alignment horizontal="center"/>
    </xf>
    <xf numFmtId="0" fontId="11" fillId="0" borderId="8" xfId="0" applyFont="1" applyBorder="1"/>
    <xf numFmtId="164" fontId="11" fillId="0" borderId="8" xfId="1" applyNumberFormat="1" applyFont="1" applyBorder="1"/>
    <xf numFmtId="0" fontId="12" fillId="3" borderId="1" xfId="0" applyFont="1" applyFill="1" applyBorder="1" applyAlignment="1">
      <alignment horizontal="center"/>
    </xf>
    <xf numFmtId="14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/>
    <xf numFmtId="164" fontId="12" fillId="3" borderId="1" xfId="1" applyNumberFormat="1" applyFont="1" applyFill="1" applyBorder="1"/>
    <xf numFmtId="0" fontId="11" fillId="0" borderId="1" xfId="0" applyFont="1" applyBorder="1"/>
    <xf numFmtId="164" fontId="11" fillId="0" borderId="3" xfId="1" applyNumberFormat="1" applyFont="1" applyBorder="1"/>
    <xf numFmtId="164" fontId="11" fillId="0" borderId="0" xfId="0" applyNumberFormat="1" applyFont="1"/>
    <xf numFmtId="14" fontId="11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164" fontId="11" fillId="0" borderId="4" xfId="0" applyNumberFormat="1" applyFont="1" applyBorder="1"/>
    <xf numFmtId="14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164" fontId="11" fillId="0" borderId="5" xfId="1" applyNumberFormat="1" applyFont="1" applyBorder="1"/>
    <xf numFmtId="0" fontId="11" fillId="0" borderId="5" xfId="0" applyFont="1" applyBorder="1"/>
    <xf numFmtId="164" fontId="11" fillId="0" borderId="5" xfId="0" applyNumberFormat="1" applyFont="1" applyBorder="1"/>
    <xf numFmtId="164" fontId="12" fillId="3" borderId="1" xfId="0" applyNumberFormat="1" applyFont="1" applyFill="1" applyBorder="1"/>
    <xf numFmtId="164" fontId="11" fillId="0" borderId="3" xfId="0" applyNumberFormat="1" applyFont="1" applyBorder="1"/>
    <xf numFmtId="0" fontId="11" fillId="0" borderId="4" xfId="0" applyFont="1" applyBorder="1" applyAlignment="1">
      <alignment horizontal="center" vertical="center"/>
    </xf>
    <xf numFmtId="164" fontId="11" fillId="0" borderId="8" xfId="0" applyNumberFormat="1" applyFont="1" applyBorder="1"/>
    <xf numFmtId="164" fontId="11" fillId="0" borderId="5" xfId="1" applyNumberFormat="1" applyFont="1" applyBorder="1" applyAlignment="1">
      <alignment horizontal="center"/>
    </xf>
    <xf numFmtId="14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/>
    <xf numFmtId="0" fontId="11" fillId="0" borderId="4" xfId="0" applyFont="1" applyBorder="1"/>
    <xf numFmtId="164" fontId="12" fillId="0" borderId="8" xfId="1" applyNumberFormat="1" applyFont="1" applyBorder="1"/>
    <xf numFmtId="164" fontId="12" fillId="0" borderId="5" xfId="1" applyNumberFormat="1" applyFont="1" applyBorder="1"/>
    <xf numFmtId="0" fontId="12" fillId="4" borderId="1" xfId="0" applyFont="1" applyFill="1" applyBorder="1"/>
    <xf numFmtId="0" fontId="11" fillId="4" borderId="1" xfId="0" applyFont="1" applyFill="1" applyBorder="1"/>
    <xf numFmtId="164" fontId="12" fillId="4" borderId="1" xfId="1" applyNumberFormat="1" applyFont="1" applyFill="1" applyBorder="1"/>
    <xf numFmtId="164" fontId="12" fillId="4" borderId="1" xfId="0" applyNumberFormat="1" applyFont="1" applyFill="1" applyBorder="1"/>
    <xf numFmtId="14" fontId="11" fillId="0" borderId="0" xfId="0" applyNumberFormat="1" applyFont="1"/>
    <xf numFmtId="171" fontId="11" fillId="0" borderId="2" xfId="0" applyNumberFormat="1" applyFont="1" applyBorder="1" applyAlignment="1">
      <alignment horizontal="center"/>
    </xf>
    <xf numFmtId="171" fontId="11" fillId="0" borderId="0" xfId="0" applyNumberFormat="1" applyFont="1"/>
    <xf numFmtId="164" fontId="13" fillId="0" borderId="2" xfId="0" applyNumberFormat="1" applyFont="1" applyBorder="1"/>
    <xf numFmtId="164" fontId="13" fillId="0" borderId="3" xfId="0" applyNumberFormat="1" applyFont="1" applyBorder="1"/>
    <xf numFmtId="16" fontId="11" fillId="0" borderId="0" xfId="0" applyNumberFormat="1" applyFont="1"/>
    <xf numFmtId="43" fontId="11" fillId="0" borderId="0" xfId="0" applyNumberFormat="1" applyFont="1"/>
    <xf numFmtId="164" fontId="13" fillId="0" borderId="0" xfId="0" applyNumberFormat="1" applyFont="1"/>
    <xf numFmtId="0" fontId="14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164" fontId="5" fillId="5" borderId="12" xfId="1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2" fillId="6" borderId="12" xfId="0" applyFont="1" applyFill="1" applyBorder="1"/>
    <xf numFmtId="0" fontId="5" fillId="6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164" fontId="5" fillId="6" borderId="12" xfId="1" applyNumberFormat="1" applyFont="1" applyFill="1" applyBorder="1" applyAlignment="1">
      <alignment horizontal="center" vertical="center" wrapText="1"/>
    </xf>
    <xf numFmtId="164" fontId="2" fillId="6" borderId="12" xfId="1" applyNumberFormat="1" applyFont="1" applyFill="1" applyBorder="1"/>
    <xf numFmtId="0" fontId="2" fillId="6" borderId="6" xfId="0" applyFont="1" applyFill="1" applyBorder="1"/>
    <xf numFmtId="164" fontId="2" fillId="3" borderId="12" xfId="0" applyNumberFormat="1" applyFont="1" applyFill="1" applyBorder="1"/>
    <xf numFmtId="0" fontId="14" fillId="5" borderId="12" xfId="0" applyFont="1" applyFill="1" applyBorder="1" applyAlignment="1">
      <alignment horizontal="center" vertical="center" wrapText="1"/>
    </xf>
    <xf numFmtId="164" fontId="2" fillId="3" borderId="12" xfId="1" applyNumberFormat="1" applyFont="1" applyFill="1" applyBorder="1"/>
    <xf numFmtId="167" fontId="7" fillId="3" borderId="12" xfId="1" applyNumberFormat="1" applyFont="1" applyFill="1" applyBorder="1"/>
    <xf numFmtId="164" fontId="4" fillId="3" borderId="12" xfId="1" applyNumberFormat="1" applyFont="1" applyFill="1" applyBorder="1"/>
    <xf numFmtId="164" fontId="5" fillId="3" borderId="12" xfId="0" applyNumberFormat="1" applyFont="1" applyFill="1" applyBorder="1"/>
    <xf numFmtId="0" fontId="4" fillId="3" borderId="12" xfId="0" applyFont="1" applyFill="1" applyBorder="1"/>
    <xf numFmtId="164" fontId="2" fillId="3" borderId="12" xfId="1" applyNumberFormat="1" applyFont="1" applyFill="1" applyBorder="1" applyAlignment="1">
      <alignment vertical="center"/>
    </xf>
    <xf numFmtId="164" fontId="2" fillId="3" borderId="0" xfId="0" applyNumberFormat="1" applyFont="1" applyFill="1"/>
    <xf numFmtId="0" fontId="2" fillId="3" borderId="0" xfId="0" applyFont="1" applyFill="1"/>
    <xf numFmtId="0" fontId="2" fillId="7" borderId="12" xfId="0" applyFont="1" applyFill="1" applyBorder="1"/>
    <xf numFmtId="0" fontId="2" fillId="7" borderId="12" xfId="0" applyFont="1" applyFill="1" applyBorder="1" applyAlignment="1">
      <alignment horizontal="center"/>
    </xf>
    <xf numFmtId="43" fontId="2" fillId="7" borderId="12" xfId="1" applyFont="1" applyFill="1" applyBorder="1"/>
    <xf numFmtId="164" fontId="2" fillId="7" borderId="12" xfId="1" applyNumberFormat="1" applyFont="1" applyFill="1" applyBorder="1"/>
    <xf numFmtId="164" fontId="5" fillId="7" borderId="12" xfId="1" applyNumberFormat="1" applyFont="1" applyFill="1" applyBorder="1"/>
    <xf numFmtId="164" fontId="4" fillId="7" borderId="12" xfId="1" applyNumberFormat="1" applyFont="1" applyFill="1" applyBorder="1" applyAlignment="1">
      <alignment horizontal="center"/>
    </xf>
    <xf numFmtId="168" fontId="4" fillId="7" borderId="12" xfId="0" applyNumberFormat="1" applyFont="1" applyFill="1" applyBorder="1" applyAlignment="1">
      <alignment horizontal="center"/>
    </xf>
    <xf numFmtId="164" fontId="2" fillId="7" borderId="12" xfId="0" applyNumberFormat="1" applyFont="1" applyFill="1" applyBorder="1"/>
    <xf numFmtId="164" fontId="2" fillId="7" borderId="12" xfId="1" applyNumberFormat="1" applyFont="1" applyFill="1" applyBorder="1" applyAlignment="1">
      <alignment vertical="center"/>
    </xf>
    <xf numFmtId="0" fontId="2" fillId="7" borderId="6" xfId="0" applyFont="1" applyFill="1" applyBorder="1"/>
    <xf numFmtId="0" fontId="2" fillId="8" borderId="12" xfId="0" applyFont="1" applyFill="1" applyBorder="1"/>
    <xf numFmtId="0" fontId="2" fillId="8" borderId="12" xfId="0" applyFont="1" applyFill="1" applyBorder="1" applyAlignment="1">
      <alignment horizontal="center"/>
    </xf>
    <xf numFmtId="43" fontId="2" fillId="8" borderId="12" xfId="1" applyFont="1" applyFill="1" applyBorder="1"/>
    <xf numFmtId="0" fontId="4" fillId="8" borderId="12" xfId="0" applyFont="1" applyFill="1" applyBorder="1" applyAlignment="1">
      <alignment horizontal="center"/>
    </xf>
    <xf numFmtId="164" fontId="2" fillId="8" borderId="12" xfId="1" applyNumberFormat="1" applyFont="1" applyFill="1" applyBorder="1"/>
    <xf numFmtId="164" fontId="5" fillId="8" borderId="12" xfId="1" applyNumberFormat="1" applyFont="1" applyFill="1" applyBorder="1"/>
    <xf numFmtId="164" fontId="4" fillId="8" borderId="12" xfId="1" applyNumberFormat="1" applyFont="1" applyFill="1" applyBorder="1" applyAlignment="1">
      <alignment horizontal="center"/>
    </xf>
    <xf numFmtId="168" fontId="4" fillId="8" borderId="12" xfId="0" applyNumberFormat="1" applyFont="1" applyFill="1" applyBorder="1" applyAlignment="1">
      <alignment horizontal="center"/>
    </xf>
    <xf numFmtId="164" fontId="2" fillId="8" borderId="12" xfId="0" applyNumberFormat="1" applyFont="1" applyFill="1" applyBorder="1"/>
    <xf numFmtId="164" fontId="2" fillId="8" borderId="12" xfId="1" applyNumberFormat="1" applyFont="1" applyFill="1" applyBorder="1" applyAlignment="1">
      <alignment vertical="center"/>
    </xf>
    <xf numFmtId="0" fontId="2" fillId="8" borderId="6" xfId="0" applyFont="1" applyFill="1" applyBorder="1"/>
    <xf numFmtId="165" fontId="2" fillId="8" borderId="12" xfId="1" applyNumberFormat="1" applyFont="1" applyFill="1" applyBorder="1"/>
    <xf numFmtId="167" fontId="7" fillId="8" borderId="12" xfId="1" applyNumberFormat="1" applyFont="1" applyFill="1" applyBorder="1"/>
    <xf numFmtId="164" fontId="4" fillId="8" borderId="12" xfId="1" applyNumberFormat="1" applyFont="1" applyFill="1" applyBorder="1"/>
    <xf numFmtId="164" fontId="5" fillId="8" borderId="12" xfId="0" applyNumberFormat="1" applyFont="1" applyFill="1" applyBorder="1"/>
    <xf numFmtId="0" fontId="4" fillId="8" borderId="12" xfId="0" applyFont="1" applyFill="1" applyBorder="1"/>
    <xf numFmtId="16" fontId="2" fillId="9" borderId="12" xfId="0" applyNumberFormat="1" applyFont="1" applyFill="1" applyBorder="1" applyAlignment="1">
      <alignment horizontal="center"/>
    </xf>
    <xf numFmtId="164" fontId="4" fillId="9" borderId="12" xfId="1" applyNumberFormat="1" applyFont="1" applyFill="1" applyBorder="1"/>
    <xf numFmtId="0" fontId="2" fillId="9" borderId="0" xfId="0" applyFont="1" applyFill="1"/>
    <xf numFmtId="0" fontId="2" fillId="10" borderId="12" xfId="0" applyFont="1" applyFill="1" applyBorder="1"/>
    <xf numFmtId="0" fontId="2" fillId="10" borderId="12" xfId="0" applyFont="1" applyFill="1" applyBorder="1" applyAlignment="1">
      <alignment horizontal="center"/>
    </xf>
    <xf numFmtId="43" fontId="2" fillId="10" borderId="12" xfId="1" applyFont="1" applyFill="1" applyBorder="1"/>
    <xf numFmtId="164" fontId="2" fillId="10" borderId="12" xfId="1" applyNumberFormat="1" applyFont="1" applyFill="1" applyBorder="1"/>
    <xf numFmtId="164" fontId="5" fillId="10" borderId="12" xfId="1" applyNumberFormat="1" applyFont="1" applyFill="1" applyBorder="1"/>
    <xf numFmtId="164" fontId="4" fillId="10" borderId="12" xfId="1" applyNumberFormat="1" applyFont="1" applyFill="1" applyBorder="1" applyAlignment="1">
      <alignment horizontal="center"/>
    </xf>
    <xf numFmtId="164" fontId="2" fillId="10" borderId="12" xfId="0" applyNumberFormat="1" applyFont="1" applyFill="1" applyBorder="1"/>
    <xf numFmtId="167" fontId="7" fillId="10" borderId="12" xfId="1" applyNumberFormat="1" applyFont="1" applyFill="1" applyBorder="1"/>
    <xf numFmtId="164" fontId="4" fillId="10" borderId="12" xfId="1" applyNumberFormat="1" applyFont="1" applyFill="1" applyBorder="1"/>
    <xf numFmtId="164" fontId="5" fillId="10" borderId="12" xfId="0" applyNumberFormat="1" applyFont="1" applyFill="1" applyBorder="1"/>
    <xf numFmtId="0" fontId="4" fillId="10" borderId="12" xfId="0" applyFont="1" applyFill="1" applyBorder="1"/>
    <xf numFmtId="164" fontId="2" fillId="10" borderId="12" xfId="1" applyNumberFormat="1" applyFont="1" applyFill="1" applyBorder="1" applyAlignment="1">
      <alignment vertical="center"/>
    </xf>
    <xf numFmtId="0" fontId="2" fillId="10" borderId="6" xfId="0" applyFont="1" applyFill="1" applyBorder="1"/>
    <xf numFmtId="0" fontId="2" fillId="11" borderId="12" xfId="0" applyFont="1" applyFill="1" applyBorder="1"/>
    <xf numFmtId="0" fontId="2" fillId="11" borderId="12" xfId="0" applyFont="1" applyFill="1" applyBorder="1" applyAlignment="1">
      <alignment horizontal="center"/>
    </xf>
    <xf numFmtId="43" fontId="2" fillId="11" borderId="12" xfId="1" applyFont="1" applyFill="1" applyBorder="1"/>
    <xf numFmtId="164" fontId="2" fillId="11" borderId="12" xfId="1" applyNumberFormat="1" applyFont="1" applyFill="1" applyBorder="1"/>
    <xf numFmtId="164" fontId="5" fillId="11" borderId="12" xfId="1" applyNumberFormat="1" applyFont="1" applyFill="1" applyBorder="1"/>
    <xf numFmtId="164" fontId="4" fillId="11" borderId="12" xfId="1" applyNumberFormat="1" applyFont="1" applyFill="1" applyBorder="1" applyAlignment="1">
      <alignment horizontal="center"/>
    </xf>
    <xf numFmtId="168" fontId="4" fillId="11" borderId="12" xfId="0" applyNumberFormat="1" applyFont="1" applyFill="1" applyBorder="1" applyAlignment="1">
      <alignment horizontal="center"/>
    </xf>
    <xf numFmtId="164" fontId="2" fillId="11" borderId="12" xfId="0" applyNumberFormat="1" applyFont="1" applyFill="1" applyBorder="1"/>
    <xf numFmtId="167" fontId="7" fillId="11" borderId="12" xfId="1" applyNumberFormat="1" applyFont="1" applyFill="1" applyBorder="1"/>
    <xf numFmtId="164" fontId="4" fillId="11" borderId="12" xfId="1" applyNumberFormat="1" applyFont="1" applyFill="1" applyBorder="1"/>
    <xf numFmtId="164" fontId="5" fillId="11" borderId="12" xfId="0" applyNumberFormat="1" applyFont="1" applyFill="1" applyBorder="1"/>
    <xf numFmtId="0" fontId="4" fillId="11" borderId="12" xfId="0" applyFont="1" applyFill="1" applyBorder="1"/>
    <xf numFmtId="0" fontId="2" fillId="11" borderId="6" xfId="0" applyFont="1" applyFill="1" applyBorder="1"/>
    <xf numFmtId="164" fontId="2" fillId="4" borderId="12" xfId="1" applyNumberFormat="1" applyFont="1" applyFill="1" applyBorder="1"/>
    <xf numFmtId="164" fontId="2" fillId="4" borderId="12" xfId="0" applyNumberFormat="1" applyFont="1" applyFill="1" applyBorder="1"/>
    <xf numFmtId="164" fontId="5" fillId="4" borderId="12" xfId="0" applyNumberFormat="1" applyFont="1" applyFill="1" applyBorder="1"/>
    <xf numFmtId="0" fontId="4" fillId="4" borderId="12" xfId="0" applyFont="1" applyFill="1" applyBorder="1"/>
    <xf numFmtId="164" fontId="2" fillId="4" borderId="12" xfId="1" applyNumberFormat="1" applyFont="1" applyFill="1" applyBorder="1" applyAlignment="1">
      <alignment horizontal="center" vertical="center"/>
    </xf>
    <xf numFmtId="0" fontId="2" fillId="4" borderId="0" xfId="0" applyFont="1" applyFill="1"/>
    <xf numFmtId="0" fontId="2" fillId="13" borderId="12" xfId="0" applyFont="1" applyFill="1" applyBorder="1"/>
    <xf numFmtId="0" fontId="2" fillId="13" borderId="12" xfId="0" applyFont="1" applyFill="1" applyBorder="1" applyAlignment="1">
      <alignment horizontal="center"/>
    </xf>
    <xf numFmtId="43" fontId="2" fillId="13" borderId="12" xfId="1" applyFont="1" applyFill="1" applyBorder="1"/>
    <xf numFmtId="166" fontId="2" fillId="13" borderId="12" xfId="1" applyNumberFormat="1" applyFont="1" applyFill="1" applyBorder="1"/>
    <xf numFmtId="164" fontId="2" fillId="13" borderId="12" xfId="1" applyNumberFormat="1" applyFont="1" applyFill="1" applyBorder="1"/>
    <xf numFmtId="164" fontId="5" fillId="13" borderId="12" xfId="1" applyNumberFormat="1" applyFont="1" applyFill="1" applyBorder="1"/>
    <xf numFmtId="164" fontId="4" fillId="13" borderId="12" xfId="1" applyNumberFormat="1" applyFont="1" applyFill="1" applyBorder="1" applyAlignment="1">
      <alignment horizontal="center"/>
    </xf>
    <xf numFmtId="164" fontId="2" fillId="13" borderId="12" xfId="0" applyNumberFormat="1" applyFont="1" applyFill="1" applyBorder="1"/>
    <xf numFmtId="167" fontId="7" fillId="13" borderId="12" xfId="1" applyNumberFormat="1" applyFont="1" applyFill="1" applyBorder="1"/>
    <xf numFmtId="164" fontId="4" fillId="13" borderId="12" xfId="1" applyNumberFormat="1" applyFont="1" applyFill="1" applyBorder="1"/>
    <xf numFmtId="164" fontId="5" fillId="13" borderId="12" xfId="0" applyNumberFormat="1" applyFont="1" applyFill="1" applyBorder="1"/>
    <xf numFmtId="164" fontId="2" fillId="13" borderId="12" xfId="1" applyNumberFormat="1" applyFont="1" applyFill="1" applyBorder="1" applyAlignment="1">
      <alignment vertical="center"/>
    </xf>
    <xf numFmtId="0" fontId="2" fillId="13" borderId="6" xfId="0" applyFont="1" applyFill="1" applyBorder="1"/>
    <xf numFmtId="0" fontId="4" fillId="13" borderId="12" xfId="0" applyFont="1" applyFill="1" applyBorder="1"/>
    <xf numFmtId="164" fontId="2" fillId="14" borderId="12" xfId="0" applyNumberFormat="1" applyFont="1" applyFill="1" applyBorder="1"/>
    <xf numFmtId="164" fontId="2" fillId="14" borderId="12" xfId="1" applyNumberFormat="1" applyFont="1" applyFill="1" applyBorder="1" applyAlignment="1">
      <alignment horizontal="center" vertical="center"/>
    </xf>
    <xf numFmtId="0" fontId="2" fillId="14" borderId="0" xfId="0" applyFont="1" applyFill="1"/>
    <xf numFmtId="164" fontId="2" fillId="15" borderId="12" xfId="1" applyNumberFormat="1" applyFont="1" applyFill="1" applyBorder="1"/>
    <xf numFmtId="164" fontId="5" fillId="15" borderId="12" xfId="1" applyNumberFormat="1" applyFont="1" applyFill="1" applyBorder="1"/>
    <xf numFmtId="164" fontId="2" fillId="15" borderId="12" xfId="0" applyNumberFormat="1" applyFont="1" applyFill="1" applyBorder="1"/>
    <xf numFmtId="0" fontId="2" fillId="16" borderId="12" xfId="0" applyFont="1" applyFill="1" applyBorder="1"/>
    <xf numFmtId="0" fontId="2" fillId="16" borderId="12" xfId="0" applyFont="1" applyFill="1" applyBorder="1" applyAlignment="1">
      <alignment horizontal="center"/>
    </xf>
    <xf numFmtId="43" fontId="2" fillId="16" borderId="12" xfId="1" applyFont="1" applyFill="1" applyBorder="1"/>
    <xf numFmtId="0" fontId="4" fillId="16" borderId="12" xfId="0" applyFont="1" applyFill="1" applyBorder="1" applyAlignment="1">
      <alignment horizontal="center"/>
    </xf>
    <xf numFmtId="164" fontId="2" fillId="16" borderId="12" xfId="1" applyNumberFormat="1" applyFont="1" applyFill="1" applyBorder="1"/>
    <xf numFmtId="164" fontId="5" fillId="16" borderId="12" xfId="1" applyNumberFormat="1" applyFont="1" applyFill="1" applyBorder="1"/>
    <xf numFmtId="164" fontId="4" fillId="16" borderId="12" xfId="1" applyNumberFormat="1" applyFont="1" applyFill="1" applyBorder="1" applyAlignment="1">
      <alignment horizontal="center"/>
    </xf>
    <xf numFmtId="168" fontId="4" fillId="16" borderId="12" xfId="0" applyNumberFormat="1" applyFont="1" applyFill="1" applyBorder="1" applyAlignment="1">
      <alignment horizontal="center"/>
    </xf>
    <xf numFmtId="164" fontId="2" fillId="16" borderId="12" xfId="0" applyNumberFormat="1" applyFont="1" applyFill="1" applyBorder="1"/>
    <xf numFmtId="167" fontId="7" fillId="16" borderId="12" xfId="1" applyNumberFormat="1" applyFont="1" applyFill="1" applyBorder="1"/>
    <xf numFmtId="164" fontId="4" fillId="16" borderId="12" xfId="1" applyNumberFormat="1" applyFont="1" applyFill="1" applyBorder="1"/>
    <xf numFmtId="164" fontId="5" fillId="16" borderId="12" xfId="0" applyNumberFormat="1" applyFont="1" applyFill="1" applyBorder="1"/>
    <xf numFmtId="0" fontId="4" fillId="16" borderId="12" xfId="0" applyFont="1" applyFill="1" applyBorder="1"/>
    <xf numFmtId="164" fontId="2" fillId="16" borderId="12" xfId="1" applyNumberFormat="1" applyFont="1" applyFill="1" applyBorder="1" applyAlignment="1">
      <alignment vertical="center"/>
    </xf>
    <xf numFmtId="0" fontId="2" fillId="16" borderId="6" xfId="0" applyFont="1" applyFill="1" applyBorder="1"/>
    <xf numFmtId="164" fontId="2" fillId="17" borderId="12" xfId="1" applyNumberFormat="1" applyFont="1" applyFill="1" applyBorder="1"/>
    <xf numFmtId="0" fontId="2" fillId="17" borderId="0" xfId="0" applyFont="1" applyFill="1"/>
    <xf numFmtId="164" fontId="2" fillId="18" borderId="12" xfId="0" applyNumberFormat="1" applyFont="1" applyFill="1" applyBorder="1"/>
    <xf numFmtId="164" fontId="5" fillId="18" borderId="12" xfId="0" applyNumberFormat="1" applyFont="1" applyFill="1" applyBorder="1"/>
    <xf numFmtId="0" fontId="4" fillId="18" borderId="12" xfId="0" applyFont="1" applyFill="1" applyBorder="1"/>
    <xf numFmtId="0" fontId="2" fillId="19" borderId="12" xfId="0" applyFont="1" applyFill="1" applyBorder="1"/>
    <xf numFmtId="0" fontId="2" fillId="19" borderId="12" xfId="0" applyFont="1" applyFill="1" applyBorder="1" applyAlignment="1">
      <alignment horizontal="center"/>
    </xf>
    <xf numFmtId="43" fontId="2" fillId="19" borderId="12" xfId="1" applyFont="1" applyFill="1" applyBorder="1"/>
    <xf numFmtId="164" fontId="2" fillId="19" borderId="12" xfId="1" applyNumberFormat="1" applyFont="1" applyFill="1" applyBorder="1"/>
    <xf numFmtId="164" fontId="5" fillId="19" borderId="12" xfId="1" applyNumberFormat="1" applyFont="1" applyFill="1" applyBorder="1"/>
    <xf numFmtId="164" fontId="4" fillId="19" borderId="12" xfId="1" applyNumberFormat="1" applyFont="1" applyFill="1" applyBorder="1" applyAlignment="1">
      <alignment horizontal="center"/>
    </xf>
    <xf numFmtId="168" fontId="4" fillId="19" borderId="12" xfId="0" applyNumberFormat="1" applyFont="1" applyFill="1" applyBorder="1" applyAlignment="1">
      <alignment horizontal="center"/>
    </xf>
    <xf numFmtId="164" fontId="2" fillId="19" borderId="12" xfId="0" applyNumberFormat="1" applyFont="1" applyFill="1" applyBorder="1"/>
    <xf numFmtId="167" fontId="7" fillId="19" borderId="12" xfId="1" applyNumberFormat="1" applyFont="1" applyFill="1" applyBorder="1"/>
    <xf numFmtId="164" fontId="4" fillId="19" borderId="12" xfId="1" applyNumberFormat="1" applyFont="1" applyFill="1" applyBorder="1"/>
    <xf numFmtId="164" fontId="5" fillId="19" borderId="12" xfId="0" applyNumberFormat="1" applyFont="1" applyFill="1" applyBorder="1"/>
    <xf numFmtId="164" fontId="2" fillId="19" borderId="12" xfId="1" applyNumberFormat="1" applyFont="1" applyFill="1" applyBorder="1" applyAlignment="1">
      <alignment vertical="center"/>
    </xf>
    <xf numFmtId="0" fontId="2" fillId="19" borderId="6" xfId="0" applyFont="1" applyFill="1" applyBorder="1"/>
    <xf numFmtId="0" fontId="2" fillId="18" borderId="9" xfId="0" applyFont="1" applyFill="1" applyBorder="1"/>
    <xf numFmtId="0" fontId="2" fillId="18" borderId="9" xfId="0" applyFont="1" applyFill="1" applyBorder="1" applyAlignment="1">
      <alignment horizontal="center"/>
    </xf>
    <xf numFmtId="43" fontId="2" fillId="18" borderId="9" xfId="1" applyFont="1" applyFill="1" applyBorder="1"/>
    <xf numFmtId="164" fontId="2" fillId="18" borderId="9" xfId="1" applyNumberFormat="1" applyFont="1" applyFill="1" applyBorder="1"/>
    <xf numFmtId="164" fontId="5" fillId="18" borderId="9" xfId="1" applyNumberFormat="1" applyFont="1" applyFill="1" applyBorder="1"/>
    <xf numFmtId="164" fontId="4" fillId="18" borderId="9" xfId="1" applyNumberFormat="1" applyFont="1" applyFill="1" applyBorder="1" applyAlignment="1">
      <alignment horizontal="center"/>
    </xf>
    <xf numFmtId="168" fontId="4" fillId="18" borderId="9" xfId="0" applyNumberFormat="1" applyFont="1" applyFill="1" applyBorder="1" applyAlignment="1">
      <alignment horizontal="center"/>
    </xf>
    <xf numFmtId="164" fontId="2" fillId="18" borderId="9" xfId="0" applyNumberFormat="1" applyFont="1" applyFill="1" applyBorder="1"/>
    <xf numFmtId="167" fontId="7" fillId="18" borderId="9" xfId="1" applyNumberFormat="1" applyFont="1" applyFill="1" applyBorder="1"/>
    <xf numFmtId="164" fontId="4" fillId="18" borderId="9" xfId="1" applyNumberFormat="1" applyFont="1" applyFill="1" applyBorder="1"/>
    <xf numFmtId="164" fontId="5" fillId="18" borderId="9" xfId="0" applyNumberFormat="1" applyFont="1" applyFill="1" applyBorder="1"/>
    <xf numFmtId="0" fontId="4" fillId="18" borderId="9" xfId="0" applyFont="1" applyFill="1" applyBorder="1"/>
    <xf numFmtId="164" fontId="2" fillId="18" borderId="9" xfId="1" applyNumberFormat="1" applyFont="1" applyFill="1" applyBorder="1" applyAlignment="1">
      <alignment vertical="center"/>
    </xf>
    <xf numFmtId="0" fontId="2" fillId="18" borderId="1" xfId="0" applyFont="1" applyFill="1" applyBorder="1"/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15" xfId="1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2" fillId="0" borderId="26" xfId="0" applyFont="1" applyBorder="1"/>
    <xf numFmtId="0" fontId="2" fillId="0" borderId="4" xfId="0" applyFont="1" applyBorder="1"/>
    <xf numFmtId="0" fontId="2" fillId="0" borderId="29" xfId="0" applyFont="1" applyBorder="1"/>
    <xf numFmtId="0" fontId="2" fillId="0" borderId="2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0" fontId="2" fillId="0" borderId="16" xfId="0" applyFont="1" applyBorder="1"/>
    <xf numFmtId="0" fontId="2" fillId="0" borderId="28" xfId="0" applyFont="1" applyBorder="1"/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27" xfId="0" applyFont="1" applyBorder="1" applyAlignment="1">
      <alignment horizontal="right" vertical="center"/>
    </xf>
    <xf numFmtId="16" fontId="2" fillId="13" borderId="12" xfId="0" quotePrefix="1" applyNumberFormat="1" applyFont="1" applyFill="1" applyBorder="1" applyAlignment="1">
      <alignment horizontal="center"/>
    </xf>
    <xf numFmtId="14" fontId="11" fillId="0" borderId="35" xfId="0" applyNumberFormat="1" applyFont="1" applyBorder="1" applyAlignment="1">
      <alignment horizontal="center"/>
    </xf>
    <xf numFmtId="0" fontId="11" fillId="0" borderId="35" xfId="0" applyFont="1" applyBorder="1"/>
    <xf numFmtId="164" fontId="11" fillId="0" borderId="35" xfId="1" applyNumberFormat="1" applyFont="1" applyBorder="1"/>
    <xf numFmtId="164" fontId="11" fillId="0" borderId="35" xfId="0" applyNumberFormat="1" applyFont="1" applyBorder="1"/>
    <xf numFmtId="16" fontId="2" fillId="16" borderId="12" xfId="0" quotePrefix="1" applyNumberFormat="1" applyFont="1" applyFill="1" applyBorder="1" applyAlignment="1">
      <alignment horizontal="center"/>
    </xf>
    <xf numFmtId="171" fontId="11" fillId="0" borderId="0" xfId="1" applyNumberFormat="1" applyFont="1"/>
    <xf numFmtId="14" fontId="11" fillId="20" borderId="4" xfId="0" applyNumberFormat="1" applyFont="1" applyFill="1" applyBorder="1" applyAlignment="1">
      <alignment horizontal="center"/>
    </xf>
    <xf numFmtId="0" fontId="11" fillId="20" borderId="4" xfId="0" applyFont="1" applyFill="1" applyBorder="1"/>
    <xf numFmtId="164" fontId="11" fillId="20" borderId="4" xfId="1" applyNumberFormat="1" applyFont="1" applyFill="1" applyBorder="1"/>
    <xf numFmtId="164" fontId="11" fillId="20" borderId="4" xfId="0" applyNumberFormat="1" applyFont="1" applyFill="1" applyBorder="1"/>
    <xf numFmtId="14" fontId="11" fillId="20" borderId="5" xfId="0" applyNumberFormat="1" applyFont="1" applyFill="1" applyBorder="1" applyAlignment="1">
      <alignment horizontal="center"/>
    </xf>
    <xf numFmtId="0" fontId="11" fillId="20" borderId="5" xfId="0" applyFont="1" applyFill="1" applyBorder="1"/>
    <xf numFmtId="164" fontId="12" fillId="20" borderId="5" xfId="1" applyNumberFormat="1" applyFont="1" applyFill="1" applyBorder="1"/>
    <xf numFmtId="0" fontId="12" fillId="20" borderId="5" xfId="0" applyFont="1" applyFill="1" applyBorder="1"/>
    <xf numFmtId="164" fontId="12" fillId="20" borderId="5" xfId="0" applyNumberFormat="1" applyFont="1" applyFill="1" applyBorder="1"/>
    <xf numFmtId="14" fontId="11" fillId="0" borderId="4" xfId="0" applyNumberFormat="1" applyFont="1" applyBorder="1" applyAlignment="1">
      <alignment horizontal="center"/>
    </xf>
    <xf numFmtId="164" fontId="11" fillId="0" borderId="4" xfId="1" applyNumberFormat="1" applyFont="1" applyBorder="1"/>
    <xf numFmtId="164" fontId="13" fillId="0" borderId="0" xfId="1" applyNumberFormat="1" applyFont="1"/>
    <xf numFmtId="164" fontId="11" fillId="20" borderId="0" xfId="0" applyNumberFormat="1" applyFont="1" applyFill="1"/>
    <xf numFmtId="0" fontId="11" fillId="0" borderId="0" xfId="0" quotePrefix="1" applyFont="1"/>
    <xf numFmtId="0" fontId="11" fillId="0" borderId="0" xfId="0" applyFont="1" applyAlignment="1">
      <alignment horizontal="center"/>
    </xf>
    <xf numFmtId="168" fontId="4" fillId="16" borderId="12" xfId="0" quotePrefix="1" applyNumberFormat="1" applyFont="1" applyFill="1" applyBorder="1" applyAlignment="1">
      <alignment horizontal="center"/>
    </xf>
    <xf numFmtId="14" fontId="11" fillId="0" borderId="3" xfId="0" quotePrefix="1" applyNumberFormat="1" applyFont="1" applyBorder="1" applyAlignment="1">
      <alignment horizontal="center"/>
    </xf>
    <xf numFmtId="168" fontId="4" fillId="7" borderId="12" xfId="0" quotePrefix="1" applyNumberFormat="1" applyFont="1" applyFill="1" applyBorder="1" applyAlignment="1">
      <alignment horizontal="center"/>
    </xf>
    <xf numFmtId="168" fontId="4" fillId="13" borderId="12" xfId="0" quotePrefix="1" applyNumberFormat="1" applyFont="1" applyFill="1" applyBorder="1" applyAlignment="1">
      <alignment horizontal="center"/>
    </xf>
    <xf numFmtId="170" fontId="11" fillId="0" borderId="7" xfId="0" applyNumberFormat="1" applyFont="1" applyBorder="1" applyAlignment="1">
      <alignment horizontal="center" vertical="center"/>
    </xf>
    <xf numFmtId="168" fontId="4" fillId="18" borderId="9" xfId="0" quotePrefix="1" applyNumberFormat="1" applyFont="1" applyFill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164" fontId="11" fillId="0" borderId="7" xfId="1" applyNumberFormat="1" applyFont="1" applyBorder="1"/>
    <xf numFmtId="0" fontId="11" fillId="0" borderId="7" xfId="0" applyFont="1" applyBorder="1"/>
    <xf numFmtId="164" fontId="11" fillId="0" borderId="7" xfId="0" applyNumberFormat="1" applyFont="1" applyBorder="1"/>
    <xf numFmtId="168" fontId="4" fillId="10" borderId="12" xfId="0" quotePrefix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6" fontId="2" fillId="7" borderId="12" xfId="0" applyNumberFormat="1" applyFont="1" applyFill="1" applyBorder="1" applyAlignment="1">
      <alignment horizontal="center"/>
    </xf>
    <xf numFmtId="16" fontId="4" fillId="7" borderId="12" xfId="0" applyNumberFormat="1" applyFont="1" applyFill="1" applyBorder="1" applyAlignment="1">
      <alignment horizontal="center"/>
    </xf>
    <xf numFmtId="16" fontId="2" fillId="8" borderId="12" xfId="0" applyNumberFormat="1" applyFont="1" applyFill="1" applyBorder="1" applyAlignment="1">
      <alignment horizontal="center"/>
    </xf>
    <xf numFmtId="16" fontId="4" fillId="13" borderId="12" xfId="0" applyNumberFormat="1" applyFont="1" applyFill="1" applyBorder="1" applyAlignment="1">
      <alignment horizontal="center"/>
    </xf>
    <xf numFmtId="16" fontId="4" fillId="13" borderId="12" xfId="0" quotePrefix="1" applyNumberFormat="1" applyFont="1" applyFill="1" applyBorder="1" applyAlignment="1">
      <alignment horizontal="center"/>
    </xf>
    <xf numFmtId="16" fontId="4" fillId="14" borderId="12" xfId="0" applyNumberFormat="1" applyFont="1" applyFill="1" applyBorder="1" applyAlignment="1">
      <alignment horizontal="center"/>
    </xf>
    <xf numFmtId="16" fontId="2" fillId="19" borderId="12" xfId="0" applyNumberFormat="1" applyFont="1" applyFill="1" applyBorder="1" applyAlignment="1">
      <alignment horizontal="center"/>
    </xf>
    <xf numFmtId="16" fontId="4" fillId="19" borderId="12" xfId="0" applyNumberFormat="1" applyFont="1" applyFill="1" applyBorder="1" applyAlignment="1">
      <alignment horizontal="center"/>
    </xf>
    <xf numFmtId="16" fontId="4" fillId="18" borderId="9" xfId="0" quotePrefix="1" applyNumberFormat="1" applyFont="1" applyFill="1" applyBorder="1" applyAlignment="1">
      <alignment horizontal="center"/>
    </xf>
    <xf numFmtId="164" fontId="4" fillId="8" borderId="12" xfId="0" applyNumberFormat="1" applyFont="1" applyFill="1" applyBorder="1"/>
    <xf numFmtId="164" fontId="4" fillId="12" borderId="12" xfId="0" applyNumberFormat="1" applyFont="1" applyFill="1" applyBorder="1"/>
    <xf numFmtId="164" fontId="4" fillId="11" borderId="12" xfId="0" applyNumberFormat="1" applyFont="1" applyFill="1" applyBorder="1"/>
    <xf numFmtId="16" fontId="4" fillId="8" borderId="12" xfId="0" applyNumberFormat="1" applyFont="1" applyFill="1" applyBorder="1" applyAlignment="1">
      <alignment horizontal="center"/>
    </xf>
    <xf numFmtId="16" fontId="2" fillId="18" borderId="9" xfId="0" applyNumberFormat="1" applyFont="1" applyFill="1" applyBorder="1" applyAlignment="1">
      <alignment horizontal="center"/>
    </xf>
    <xf numFmtId="16" fontId="4" fillId="18" borderId="9" xfId="0" applyNumberFormat="1" applyFont="1" applyFill="1" applyBorder="1" applyAlignment="1">
      <alignment horizontal="center"/>
    </xf>
    <xf numFmtId="164" fontId="16" fillId="8" borderId="12" xfId="0" applyNumberFormat="1" applyFont="1" applyFill="1" applyBorder="1"/>
    <xf numFmtId="164" fontId="4" fillId="14" borderId="12" xfId="0" applyNumberFormat="1" applyFont="1" applyFill="1" applyBorder="1"/>
    <xf numFmtId="164" fontId="4" fillId="13" borderId="12" xfId="0" applyNumberFormat="1" applyFont="1" applyFill="1" applyBorder="1"/>
    <xf numFmtId="166" fontId="2" fillId="18" borderId="9" xfId="1" applyNumberFormat="1" applyFont="1" applyFill="1" applyBorder="1"/>
    <xf numFmtId="164" fontId="16" fillId="11" borderId="12" xfId="0" applyNumberFormat="1" applyFont="1" applyFill="1" applyBorder="1"/>
    <xf numFmtId="164" fontId="16" fillId="18" borderId="9" xfId="0" applyNumberFormat="1" applyFont="1" applyFill="1" applyBorder="1"/>
    <xf numFmtId="164" fontId="4" fillId="18" borderId="9" xfId="0" applyNumberFormat="1" applyFont="1" applyFill="1" applyBorder="1"/>
    <xf numFmtId="164" fontId="16" fillId="13" borderId="12" xfId="0" applyNumberFormat="1" applyFont="1" applyFill="1" applyBorder="1"/>
    <xf numFmtId="16" fontId="2" fillId="11" borderId="12" xfId="0" applyNumberFormat="1" applyFont="1" applyFill="1" applyBorder="1"/>
    <xf numFmtId="164" fontId="16" fillId="14" borderId="12" xfId="0" applyNumberFormat="1" applyFont="1" applyFill="1" applyBorder="1"/>
    <xf numFmtId="164" fontId="4" fillId="18" borderId="12" xfId="0" applyNumberFormat="1" applyFont="1" applyFill="1" applyBorder="1"/>
    <xf numFmtId="0" fontId="6" fillId="0" borderId="10" xfId="0" applyFont="1" applyBorder="1" applyAlignment="1">
      <alignment horizontal="center"/>
    </xf>
    <xf numFmtId="0" fontId="14" fillId="5" borderId="36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/>
    </xf>
    <xf numFmtId="164" fontId="5" fillId="5" borderId="36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164" fontId="0" fillId="0" borderId="0" xfId="0" applyNumberFormat="1"/>
    <xf numFmtId="0" fontId="2" fillId="6" borderId="12" xfId="0" applyFont="1" applyFill="1" applyBorder="1" applyAlignment="1">
      <alignment horizontal="center" vertical="center"/>
    </xf>
    <xf numFmtId="164" fontId="5" fillId="3" borderId="0" xfId="0" applyNumberFormat="1" applyFont="1" applyFill="1"/>
    <xf numFmtId="164" fontId="4" fillId="3" borderId="12" xfId="0" applyNumberFormat="1" applyFont="1" applyFill="1" applyBorder="1"/>
    <xf numFmtId="164" fontId="5" fillId="6" borderId="12" xfId="0" applyNumberFormat="1" applyFont="1" applyFill="1" applyBorder="1" applyAlignment="1">
      <alignment horizontal="center" vertical="center"/>
    </xf>
    <xf numFmtId="164" fontId="4" fillId="10" borderId="12" xfId="0" applyNumberFormat="1" applyFont="1" applyFill="1" applyBorder="1"/>
    <xf numFmtId="164" fontId="4" fillId="4" borderId="12" xfId="0" applyNumberFormat="1" applyFont="1" applyFill="1" applyBorder="1"/>
    <xf numFmtId="164" fontId="4" fillId="16" borderId="12" xfId="0" applyNumberFormat="1" applyFont="1" applyFill="1" applyBorder="1"/>
    <xf numFmtId="164" fontId="3" fillId="0" borderId="0" xfId="0" applyNumberFormat="1" applyFont="1"/>
    <xf numFmtId="0" fontId="3" fillId="0" borderId="0" xfId="0" applyFont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164" fontId="3" fillId="0" borderId="19" xfId="0" applyNumberFormat="1" applyFont="1" applyBorder="1" applyAlignment="1">
      <alignment horizontal="right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70" fontId="12" fillId="0" borderId="0" xfId="0" applyNumberFormat="1" applyFont="1" applyAlignment="1">
      <alignment horizontal="center"/>
    </xf>
    <xf numFmtId="170" fontId="11" fillId="0" borderId="6" xfId="0" applyNumberFormat="1" applyFont="1" applyBorder="1" applyAlignment="1">
      <alignment horizontal="center" vertical="center"/>
    </xf>
    <xf numFmtId="170" fontId="11" fillId="0" borderId="7" xfId="0" applyNumberFormat="1" applyFont="1" applyBorder="1" applyAlignment="1">
      <alignment horizontal="center" vertical="center"/>
    </xf>
    <xf numFmtId="170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20" borderId="6" xfId="0" applyFont="1" applyFill="1" applyBorder="1" applyAlignment="1">
      <alignment horizontal="center" vertical="center"/>
    </xf>
    <xf numFmtId="0" fontId="11" fillId="20" borderId="4" xfId="0" applyFont="1" applyFill="1" applyBorder="1" applyAlignment="1">
      <alignment horizontal="center" vertical="center"/>
    </xf>
    <xf numFmtId="164" fontId="15" fillId="21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56.608565046299" createdVersion="8" refreshedVersion="8" minRefreshableVersion="3" recordCount="79" xr:uid="{5D6C330A-BD19-4E63-8C56-4ACAA1F73E2A}">
  <cacheSource type="worksheet">
    <worksheetSource name="Table2"/>
  </cacheSource>
  <cacheFields count="26">
    <cacheField name="Tháng" numFmtId="0">
      <sharedItems containsString="0" containsBlank="1" containsNumber="1" containsInteger="1" minValue="12026" maxValue="52026"/>
    </cacheField>
    <cacheField name="Tên tàu" numFmtId="0">
      <sharedItems containsBlank="1" count="6">
        <m/>
        <s v="VG05"/>
        <s v="VG09"/>
        <s v="VG15"/>
        <s v="VG36"/>
        <s v="VG18"/>
      </sharedItems>
    </cacheField>
    <cacheField name="Chuyến" numFmtId="0">
      <sharedItems containsBlank="1"/>
    </cacheField>
    <cacheField name="Tên hàng" numFmtId="0">
      <sharedItems containsBlank="1"/>
    </cacheField>
    <cacheField name="Ngày_x000a_ xếp" numFmtId="0">
      <sharedItems containsDate="1" containsBlank="1" containsMixedTypes="1" minDate="2025-12-27T00:00:00" maxDate="2026-05-03T00:00:00"/>
    </cacheField>
    <cacheField name="Cảng xếp" numFmtId="0">
      <sharedItems containsBlank="1"/>
    </cacheField>
    <cacheField name="Ngày dỡ" numFmtId="0">
      <sharedItems containsNonDate="0" containsDate="1" containsString="0" containsBlank="1" minDate="2026-01-02T00:00:00" maxDate="2026-05-11T00:00:00"/>
    </cacheField>
    <cacheField name="Cảng dỡ" numFmtId="0">
      <sharedItems containsBlank="1"/>
    </cacheField>
    <cacheField name="Khối lượng_x000a_ tính cước" numFmtId="0">
      <sharedItems containsString="0" containsBlank="1" containsNumber="1" minValue="1" maxValue="8030.16"/>
    </cacheField>
    <cacheField name="Thực tế (Đơn giá_x000a_đã có VAT )" numFmtId="0">
      <sharedItems containsString="0" containsBlank="1" containsNumber="1" minValue="2" maxValue="818640000"/>
    </cacheField>
    <cacheField name="Thành tiền" numFmtId="0">
      <sharedItems containsBlank="1" containsMixedTypes="1" containsNumber="1" minValue="0" maxValue="2010852000"/>
    </cacheField>
    <cacheField name="Số _x000a_hóa đơn" numFmtId="164">
      <sharedItems containsString="0" containsBlank="1" containsNumber="1" containsInteger="1" minValue="1" maxValue="104" count="82">
        <n v="4"/>
        <n v="2"/>
        <n v="11"/>
        <n v="14"/>
        <n v="20"/>
        <n v="25"/>
        <n v="33"/>
        <n v="31"/>
        <n v="37"/>
        <n v="41"/>
        <n v="45"/>
        <n v="51"/>
        <m/>
        <n v="6"/>
        <n v="10"/>
        <n v="17"/>
        <n v="21"/>
        <n v="26"/>
        <n v="29"/>
        <n v="36"/>
        <n v="42"/>
        <n v="50"/>
        <n v="3"/>
        <n v="8"/>
        <n v="12"/>
        <n v="18"/>
        <n v="23"/>
        <n v="27"/>
        <n v="34"/>
        <n v="40"/>
        <n v="44"/>
        <n v="49"/>
        <n v="1"/>
        <n v="5"/>
        <n v="9"/>
        <n v="15"/>
        <n v="22"/>
        <n v="30"/>
        <n v="32"/>
        <n v="38"/>
        <n v="46"/>
        <n v="47"/>
        <n v="52"/>
        <n v="7"/>
        <n v="13"/>
        <n v="16"/>
        <n v="24"/>
        <n v="28"/>
        <n v="35"/>
        <n v="39"/>
        <n v="43"/>
        <n v="48"/>
        <n v="77" u="1"/>
        <n v="81" u="1"/>
        <n v="86" u="1"/>
        <n v="90" u="1"/>
        <n v="95" u="1"/>
        <n v="100" u="1"/>
        <n v="101" u="1"/>
        <n v="79" u="1"/>
        <n v="82" u="1"/>
        <n v="89" u="1"/>
        <n v="94" u="1"/>
        <n v="103" u="1"/>
        <n v="74" u="1"/>
        <n v="76" u="1"/>
        <n v="80" u="1"/>
        <n v="84" u="1"/>
        <n v="87" u="1"/>
        <n v="92" u="1"/>
        <n v="96" u="1"/>
        <n v="102" u="1"/>
        <n v="75" u="1"/>
        <n v="78" u="1"/>
        <n v="83" u="1"/>
        <n v="88" u="1"/>
        <n v="93" u="1"/>
        <n v="104" u="1"/>
        <n v="91" u="1"/>
        <n v="97" u="1"/>
        <n v="98" u="1"/>
        <n v="99" u="1"/>
      </sharedItems>
    </cacheField>
    <cacheField name="Ngày xuất hoá đơn" numFmtId="0">
      <sharedItems containsBlank="1"/>
    </cacheField>
    <cacheField name="Tiền gửi" numFmtId="0">
      <sharedItems containsString="0" containsBlank="1" containsNumber="1" minValue="-277807407" maxValue="30000"/>
    </cacheField>
    <cacheField name="Hóa đơn (Giá chưa VAT_x000a_/1.08)" numFmtId="0">
      <sharedItems containsString="0" containsBlank="1" containsNumber="1" minValue="6" maxValue="758000000"/>
    </cacheField>
    <cacheField name="Thành tiền2" numFmtId="0">
      <sharedItems containsBlank="1" containsMixedTypes="1" containsNumber="1" minValue="296296296.2962963" maxValue="1861900000"/>
    </cacheField>
    <cacheField name="VAT 8%" numFmtId="0">
      <sharedItems containsBlank="1" containsMixedTypes="1" containsNumber="1" minValue="23703703.703703705" maxValue="148952000"/>
    </cacheField>
    <cacheField name="Tổng cộng" numFmtId="0">
      <sharedItems containsBlank="1" containsMixedTypes="1" containsNumber="1" minValue="320000000" maxValue="2010852000"/>
    </cacheField>
    <cacheField name="Chênh lệch_x000a_sau thuế" numFmtId="0">
      <sharedItems containsBlank="1" containsMixedTypes="1" containsNumber="1" minValue="-277807407" maxValue="199956750"/>
    </cacheField>
    <cacheField name="Thuế gửi" numFmtId="0">
      <sharedItems containsBlank="1" containsMixedTypes="1" containsNumber="1" minValue="-3216862.9629629944" maxValue="51840638.888888888"/>
    </cacheField>
    <cacheField name="Số tiền phải trả gửi giá" numFmtId="0">
      <sharedItems containsBlank="1" containsMixedTypes="1" containsNumber="1" minValue="-277807407" maxValue="148116111.1111111"/>
    </cacheField>
    <cacheField name="Đơn vị" numFmtId="0">
      <sharedItems containsBlank="1" count="6">
        <m/>
        <s v="Hoàng Quyên"/>
        <s v="Bình Minh"/>
        <s v="Ngọc Anh"/>
        <s v="Thái Bình Dương"/>
        <s v="Việt Anh"/>
      </sharedItems>
    </cacheField>
    <cacheField name="Công nợ" numFmtId="164">
      <sharedItems containsString="0" containsBlank="1" containsNumber="1" minValue="0" maxValue="2010852000"/>
    </cacheField>
    <cacheField name="Hết tháng  14.5" numFmtId="164">
      <sharedItems containsString="0" containsBlank="1" containsNumber="1" minValue="0" maxValue="1799610750"/>
    </cacheField>
    <cacheField name="Tháng 5" numFmtId="164">
      <sharedItems containsNonDate="0" containsString="0" containsBlank="1"/>
    </cacheField>
    <cacheField name="Tháng 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m/>
    <x v="0"/>
    <m/>
    <m/>
    <m/>
    <m/>
    <m/>
    <m/>
    <n v="1"/>
    <n v="2"/>
    <s v="(3=1*2)"/>
    <x v="0"/>
    <m/>
    <n v="5"/>
    <n v="6"/>
    <s v="(7=1*6)"/>
    <s v="(8=7*8%)"/>
    <s v="(9=7+8)"/>
    <s v="(10=9-3)"/>
    <s v="(11=10/1.08*tỉ lệ thuế gửi)"/>
    <s v="(12=10-11)"/>
    <x v="0"/>
    <m/>
    <m/>
    <m/>
    <m/>
  </r>
  <r>
    <n v="12026"/>
    <x v="1"/>
    <s v="C1"/>
    <s v="Cát"/>
    <e v="#REF!"/>
    <s v="Vĩnh Xương"/>
    <d v="2026-01-02T00:00:00"/>
    <s v="Đà Nẵng"/>
    <n v="3922.05"/>
    <n v="125000"/>
    <n v="490256250"/>
    <x v="1"/>
    <s v="7/1"/>
    <n v="13000"/>
    <n v="127777.77777777777"/>
    <n v="501150833.33333331"/>
    <n v="40092066.666666664"/>
    <n v="541242900"/>
    <n v="50986650"/>
    <n v="13218761.11111111"/>
    <n v="37767888.888888888"/>
    <x v="1"/>
    <n v="0"/>
    <n v="541242900"/>
    <m/>
    <m/>
  </r>
  <r>
    <n v="12026"/>
    <x v="1"/>
    <s v="C2"/>
    <s v="Clinker"/>
    <d v="2026-01-03T00:00:00"/>
    <s v="Chân Mây"/>
    <d v="2026-01-13T00:00:00"/>
    <s v="Hậu Giang"/>
    <n v="3987.95"/>
    <n v="160000"/>
    <n v="638072000"/>
    <x v="0"/>
    <s v="16/1"/>
    <n v="0"/>
    <n v="148148.14814814815"/>
    <n v="590807407.4074074"/>
    <n v="47264592.59259259"/>
    <n v="638072000"/>
    <n v="0"/>
    <n v="0"/>
    <n v="0"/>
    <x v="2"/>
    <n v="0"/>
    <n v="638072000"/>
    <m/>
    <m/>
  </r>
  <r>
    <n v="12026"/>
    <x v="1"/>
    <s v="C3"/>
    <s v="Cát"/>
    <d v="2026-01-14T00:00:00"/>
    <s v="Vĩnh Xương"/>
    <d v="2026-01-24T00:00:00"/>
    <s v="Đà Nẵng"/>
    <n v="3975.02"/>
    <n v="120000"/>
    <n v="477002400"/>
    <x v="2"/>
    <s v="28/1"/>
    <n v="4824.2776136975408"/>
    <n v="115578.03482749772"/>
    <n v="459424999.99999994"/>
    <n v="36753999.999999993"/>
    <n v="496178999.99999994"/>
    <n v="19176599.99999994"/>
    <n v="4971711.1111110961"/>
    <n v="14204888.888888843"/>
    <x v="1"/>
    <n v="0"/>
    <n v="496178999.99999994"/>
    <m/>
    <m/>
  </r>
  <r>
    <n v="12026"/>
    <x v="1"/>
    <s v="C4"/>
    <s v="Xỉ"/>
    <d v="2026-01-25T00:00:00"/>
    <s v="Sơn Dương"/>
    <d v="2026-02-01T00:00:00"/>
    <s v="Cần Thơ"/>
    <n v="4008"/>
    <n v="223000"/>
    <n v="893784000"/>
    <x v="3"/>
    <m/>
    <n v="8000"/>
    <n v="213888.88888888888"/>
    <n v="857266666.66666663"/>
    <n v="68581333.333333328"/>
    <n v="925848000"/>
    <n v="32064000"/>
    <n v="8312888.888888889"/>
    <n v="23751111.111111112"/>
    <x v="3"/>
    <n v="0"/>
    <n v="925848000"/>
    <m/>
    <m/>
  </r>
  <r>
    <n v="22026"/>
    <x v="1"/>
    <s v="C5"/>
    <s v="Cát"/>
    <d v="2026-02-02T00:00:00"/>
    <s v="Cần Thơ"/>
    <d v="2026-02-13T00:00:00"/>
    <s v="Đà Nẵng"/>
    <n v="3960.99"/>
    <n v="120000"/>
    <n v="475318800"/>
    <x v="4"/>
    <m/>
    <n v="15000"/>
    <n v="124999.99999999999"/>
    <n v="495123749.99999994"/>
    <n v="39609899.999999993"/>
    <n v="534733649.99999994"/>
    <n v="59414849.99999994"/>
    <n v="15403849.999999985"/>
    <n v="44010999.999999955"/>
    <x v="1"/>
    <n v="0"/>
    <n v="534733649.99999994"/>
    <m/>
    <m/>
  </r>
  <r>
    <n v="22026"/>
    <x v="1"/>
    <s v="C6"/>
    <s v="Cliker"/>
    <d v="2026-02-14T00:00:00"/>
    <s v="Hòn La"/>
    <d v="2026-03-06T00:00:00"/>
    <s v="Cần Thơ"/>
    <n v="3999.6"/>
    <n v="200000"/>
    <n v="799920000"/>
    <x v="5"/>
    <m/>
    <n v="17000"/>
    <n v="200925.92592592593"/>
    <n v="803623333.33333337"/>
    <n v="64289866.666666672"/>
    <n v="867913200"/>
    <n v="67993200"/>
    <n v="17627866.666666668"/>
    <n v="50365333.333333328"/>
    <x v="4"/>
    <n v="0"/>
    <n v="867913200"/>
    <m/>
    <m/>
  </r>
  <r>
    <n v="32026"/>
    <x v="1"/>
    <s v="C7"/>
    <s v="Quặng"/>
    <d v="2026-03-07T00:00:00"/>
    <s v="Vĩnh Xương"/>
    <d v="2026-03-23T00:00:00"/>
    <s v="Hải Phòng"/>
    <n v="3998.61"/>
    <n v="151000"/>
    <n v="603790110"/>
    <x v="6"/>
    <m/>
    <m/>
    <n v="139814.8148148148"/>
    <n v="559064916.66666663"/>
    <n v="44725193.333333328"/>
    <n v="603790110"/>
    <n v="0"/>
    <n v="0"/>
    <n v="0"/>
    <x v="3"/>
    <n v="0"/>
    <n v="603790110"/>
    <m/>
    <m/>
  </r>
  <r>
    <n v="32026"/>
    <x v="1"/>
    <s v="C8"/>
    <s v="Than"/>
    <d v="2026-03-24T00:00:00"/>
    <s v="Quảng Ninh"/>
    <d v="2026-03-29T00:00:00"/>
    <s v="Nghi Sơn"/>
    <n v="3849.62"/>
    <n v="90000"/>
    <n v="346465800"/>
    <x v="7"/>
    <m/>
    <m/>
    <n v="83333.333333333328"/>
    <n v="320801666.66666663"/>
    <n v="25664133.333333332"/>
    <n v="346465799.99999994"/>
    <n v="0"/>
    <n v="0"/>
    <n v="0"/>
    <x v="3"/>
    <n v="0"/>
    <n v="346465799.99999994"/>
    <m/>
    <m/>
  </r>
  <r>
    <n v="42026"/>
    <x v="1"/>
    <s v="C9"/>
    <s v="Xỉ"/>
    <d v="2026-03-30T00:00:00"/>
    <s v="Sơn Dương"/>
    <d v="2026-04-06T00:00:00"/>
    <s v="Cần Thơ"/>
    <n v="3997"/>
    <n v="253000"/>
    <n v="1011241000"/>
    <x v="8"/>
    <m/>
    <m/>
    <n v="234259.25925925924"/>
    <n v="936334259.25925922"/>
    <n v="74906740.740740746"/>
    <n v="1011241000"/>
    <n v="0"/>
    <n v="0"/>
    <n v="0"/>
    <x v="3"/>
    <n v="0"/>
    <n v="1011241000"/>
    <m/>
    <m/>
  </r>
  <r>
    <n v="42026"/>
    <x v="1"/>
    <s v="C10"/>
    <s v="Cát"/>
    <d v="2026-04-07T00:00:00"/>
    <s v="Vĩnh Xương"/>
    <d v="2026-04-15T00:00:00"/>
    <s v="Đà Nẵng"/>
    <n v="3981.43"/>
    <n v="155000"/>
    <n v="617121650"/>
    <x v="9"/>
    <m/>
    <m/>
    <n v="143518.51851851851"/>
    <n v="571408935.18518507"/>
    <n v="45712714.814814806"/>
    <n v="617121649.99999988"/>
    <n v="0"/>
    <n v="0"/>
    <n v="0"/>
    <x v="1"/>
    <n v="617121649.99999988"/>
    <m/>
    <m/>
    <m/>
  </r>
  <r>
    <n v="42026"/>
    <x v="1"/>
    <s v="C11"/>
    <s v="Clinker"/>
    <d v="2026-04-16T00:00:00"/>
    <s v="Chân Mây"/>
    <d v="2026-04-24T00:00:00"/>
    <s v="Hậu Giang"/>
    <n v="4008.27"/>
    <n v="210000"/>
    <n v="841736700"/>
    <x v="10"/>
    <m/>
    <m/>
    <n v="194444.44444444444"/>
    <n v="779385833.33333325"/>
    <n v="62350866.666666664"/>
    <n v="841736699.99999988"/>
    <n v="0"/>
    <n v="0"/>
    <n v="0"/>
    <x v="3"/>
    <n v="841736699.99999988"/>
    <m/>
    <m/>
    <m/>
  </r>
  <r>
    <n v="42026"/>
    <x v="1"/>
    <s v="C12"/>
    <s v="Quặng"/>
    <d v="2026-04-25T00:00:00"/>
    <s v="Vĩnh Xương"/>
    <d v="2026-05-08T00:00:00"/>
    <s v="Vật Cách"/>
    <n v="3951.44"/>
    <n v="160000"/>
    <n v="632230400"/>
    <x v="11"/>
    <m/>
    <m/>
    <n v="148148.14814814815"/>
    <n v="585398518.51851857"/>
    <n v="46831881.481481485"/>
    <n v="632230400"/>
    <n v="0"/>
    <n v="0"/>
    <n v="0"/>
    <x v="3"/>
    <n v="632230400"/>
    <m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n v="12026"/>
    <x v="2"/>
    <s v="C1"/>
    <s v="Cát"/>
    <d v="2025-12-30T00:00:00"/>
    <s v="Vĩnh Xương"/>
    <d v="2026-01-15T00:00:00"/>
    <s v="Đà Nẵng"/>
    <n v="4585.4799999999996"/>
    <n v="125000"/>
    <n v="573185000"/>
    <x v="13"/>
    <s v="20/1"/>
    <n v="-2705.9108315814269"/>
    <n v="113235.26774853571"/>
    <n v="519238055.55555546"/>
    <n v="41539044.44444444"/>
    <n v="560777099.99999988"/>
    <n v="-12407900.000000119"/>
    <n v="-3216862.9629629944"/>
    <n v="-9191037.0370371249"/>
    <x v="1"/>
    <n v="0"/>
    <n v="560777099.99999988"/>
    <m/>
    <m/>
  </r>
  <r>
    <n v="12026"/>
    <x v="2"/>
    <s v="C2"/>
    <s v="Xỉ"/>
    <d v="2026-01-16T00:00:00"/>
    <s v="Sơn Dương"/>
    <d v="2026-01-24T00:00:00"/>
    <s v="HCM"/>
    <n v="4695.28"/>
    <n v="180000"/>
    <n v="845150400"/>
    <x v="14"/>
    <s v="26/1"/>
    <n v="10000"/>
    <n v="175925.92592592593"/>
    <n v="826021481.48148143"/>
    <n v="66081718.518518515"/>
    <n v="892103200"/>
    <n v="46952800"/>
    <n v="12172948.148148149"/>
    <n v="34779851.851851851"/>
    <x v="3"/>
    <n v="0"/>
    <n v="892103200"/>
    <m/>
    <m/>
  </r>
  <r>
    <n v="22026"/>
    <x v="2"/>
    <s v="C3"/>
    <s v="Tro ẩm"/>
    <d v="2026-01-25T00:00:00"/>
    <s v="Vĩnh Tân"/>
    <d v="2026-02-05T00:00:00"/>
    <s v="Nghi Sơn"/>
    <n v="4576.5"/>
    <n v="95000"/>
    <n v="434767500"/>
    <x v="15"/>
    <m/>
    <m/>
    <n v="87962.962962962964"/>
    <n v="402562500"/>
    <n v="32205000"/>
    <n v="434767500"/>
    <n v="0"/>
    <n v="0"/>
    <n v="0"/>
    <x v="3"/>
    <n v="0"/>
    <n v="434767500"/>
    <m/>
    <m/>
  </r>
  <r>
    <n v="22026"/>
    <x v="2"/>
    <s v="C4"/>
    <s v="Xỉ"/>
    <d v="2026-02-06T00:00:00"/>
    <s v="Sơn Dương"/>
    <d v="2026-02-27T00:00:00"/>
    <s v="Hậu Giang"/>
    <n v="4745"/>
    <n v="193000"/>
    <n v="915785000"/>
    <x v="16"/>
    <m/>
    <n v="10000"/>
    <n v="187962.96296296295"/>
    <n v="891884259.25925922"/>
    <n v="71350740.740740746"/>
    <n v="963235000"/>
    <n v="47450000"/>
    <n v="12301851.851851851"/>
    <n v="35148148.148148149"/>
    <x v="3"/>
    <n v="0"/>
    <n v="963235000"/>
    <m/>
    <m/>
  </r>
  <r>
    <n v="32026"/>
    <x v="2"/>
    <s v="C5"/>
    <s v="Cát"/>
    <d v="2026-02-28T00:00:00"/>
    <s v="Vĩnh Xương"/>
    <d v="2026-03-15T00:00:00"/>
    <s v="Đà Nẵng"/>
    <n v="4604.8900000000003"/>
    <n v="120000"/>
    <n v="552586800"/>
    <x v="17"/>
    <m/>
    <n v="20000"/>
    <n v="129629.62962962962"/>
    <n v="596930185.18518519"/>
    <n v="47754414.814814813"/>
    <n v="644684600"/>
    <n v="92097800"/>
    <n v="23877207.407407407"/>
    <n v="68220592.592592597"/>
    <x v="1"/>
    <n v="0"/>
    <n v="644684600"/>
    <m/>
    <m/>
  </r>
  <r>
    <n v="32026"/>
    <x v="2"/>
    <s v="C6"/>
    <s v="Xỉ"/>
    <d v="2026-03-16T00:00:00"/>
    <s v="Sơn Dương"/>
    <d v="2026-03-26T00:00:00"/>
    <s v="XM Tây Đô"/>
    <n v="4740"/>
    <n v="210000"/>
    <n v="995400000"/>
    <x v="18"/>
    <m/>
    <n v="30000"/>
    <n v="222222.22222222222"/>
    <n v="1053333333.3333334"/>
    <n v="84266666.666666672"/>
    <n v="1137600000"/>
    <n v="142200000"/>
    <n v="36866666.666666664"/>
    <n v="105333333.33333334"/>
    <x v="3"/>
    <n v="0"/>
    <n v="1137600000"/>
    <m/>
    <m/>
  </r>
  <r>
    <n v="42026"/>
    <x v="2"/>
    <s v="C7"/>
    <s v="Cát"/>
    <d v="2026-03-27T00:00:00"/>
    <s v="Vĩnh Xương"/>
    <d v="2026-04-04T00:00:00"/>
    <s v="Đà Nẵng"/>
    <n v="4589.1899999999996"/>
    <n v="150000"/>
    <n v="688378499.99999988"/>
    <x v="19"/>
    <m/>
    <n v="20000"/>
    <n v="157407.40740740739"/>
    <n v="722372499.99999988"/>
    <n v="57789799.999999993"/>
    <n v="780162299.99999988"/>
    <n v="91783800"/>
    <n v="23795800.000000004"/>
    <n v="67988000"/>
    <x v="1"/>
    <n v="780162299.99999988"/>
    <m/>
    <m/>
    <m/>
  </r>
  <r>
    <n v="42026"/>
    <x v="2"/>
    <s v="C8"/>
    <s v="Xỉ"/>
    <d v="2026-04-05T00:00:00"/>
    <s v="Sơn Dương"/>
    <d v="2026-04-18T00:00:00"/>
    <s v="Hậu Giang"/>
    <n v="4589.1899999999996"/>
    <n v="150000"/>
    <n v="688378499.99999988"/>
    <x v="20"/>
    <m/>
    <m/>
    <n v="138888.88888888888"/>
    <n v="637387499.99999988"/>
    <n v="50990999.999999993"/>
    <n v="688378499.99999988"/>
    <n v="0"/>
    <n v="0"/>
    <n v="0"/>
    <x v="3"/>
    <n v="0"/>
    <n v="688378499.99999988"/>
    <m/>
    <m/>
  </r>
  <r>
    <n v="42026"/>
    <x v="2"/>
    <s v="C9"/>
    <s v="Cát"/>
    <d v="2026-04-19T00:00:00"/>
    <s v="Sơn Dương"/>
    <d v="2026-05-06T00:00:00"/>
    <s v="Huy Văn"/>
    <n v="1"/>
    <n v="818640000"/>
    <n v="818640000"/>
    <x v="21"/>
    <m/>
    <m/>
    <n v="758000000"/>
    <n v="758000000"/>
    <n v="60640000"/>
    <n v="818640000"/>
    <n v="0"/>
    <n v="0"/>
    <n v="0"/>
    <x v="2"/>
    <n v="0"/>
    <n v="81864000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n v="12026"/>
    <x v="3"/>
    <s v="C1"/>
    <s v="Xỉ "/>
    <d v="2025-12-31T00:00:00"/>
    <s v="Sơn Dương"/>
    <d v="2026-01-06T00:00:00"/>
    <s v="Hậu Giang"/>
    <n v="4814"/>
    <n v="183000"/>
    <n v="880962000"/>
    <x v="22"/>
    <s v="7/1"/>
    <n v="10000"/>
    <n v="178703.70370370368"/>
    <n v="860279629.62962949"/>
    <n v="68822370.370370358"/>
    <n v="929101999.99999988"/>
    <n v="48139999.999999881"/>
    <n v="12480740.740740711"/>
    <n v="35659259.259259172"/>
    <x v="3"/>
    <n v="0"/>
    <n v="929101999.99999988"/>
    <m/>
    <m/>
  </r>
  <r>
    <n v="12026"/>
    <x v="3"/>
    <s v="C2"/>
    <s v="Cát"/>
    <d v="2026-01-07T00:00:00"/>
    <s v="Vĩnh Xương"/>
    <d v="2026-01-19T00:00:00"/>
    <s v="Đà Nẵng"/>
    <n v="4619.2299999999996"/>
    <n v="125000"/>
    <n v="577403750"/>
    <x v="23"/>
    <s v="21/1"/>
    <n v="8585.2945187834339"/>
    <n v="123690.08751739205"/>
    <n v="571352962.96296287"/>
    <n v="45708237.03703703"/>
    <n v="617061199.99999988"/>
    <n v="39657449.999999881"/>
    <n v="10281561.11111108"/>
    <n v="29375888.888888799"/>
    <x v="1"/>
    <n v="0"/>
    <n v="617061199.99999988"/>
    <m/>
    <m/>
  </r>
  <r>
    <n v="12026"/>
    <x v="3"/>
    <s v="C3"/>
    <s v="Xỉ"/>
    <d v="2026-01-20T00:00:00"/>
    <s v="Sơn Dương"/>
    <d v="2026-02-03T00:00:00"/>
    <s v="Hậu Giang"/>
    <n v="4810"/>
    <n v="193000"/>
    <n v="928330000"/>
    <x v="24"/>
    <m/>
    <n v="10000"/>
    <n v="187962.96296296295"/>
    <n v="904101851.85185182"/>
    <n v="72328148.148148149"/>
    <n v="976430000"/>
    <n v="48100000"/>
    <n v="12470370.370370371"/>
    <n v="35629629.629629627"/>
    <x v="3"/>
    <n v="0"/>
    <n v="976430000"/>
    <m/>
    <m/>
  </r>
  <r>
    <n v="22026"/>
    <x v="3"/>
    <s v="C4"/>
    <s v="Quặng"/>
    <d v="2026-02-04T00:00:00"/>
    <s v="Vĩnh Xương"/>
    <d v="2026-02-23T00:00:00"/>
    <s v="Hải Phòng"/>
    <n v="4657.68"/>
    <n v="145000"/>
    <n v="675363600"/>
    <x v="25"/>
    <m/>
    <m/>
    <n v="134259.25925925924"/>
    <n v="625336666.66666663"/>
    <n v="50026933.333333328"/>
    <n v="675363600"/>
    <n v="0"/>
    <n v="0"/>
    <n v="0"/>
    <x v="4"/>
    <n v="0"/>
    <n v="675363600"/>
    <m/>
    <m/>
  </r>
  <r>
    <n v="22026"/>
    <x v="3"/>
    <s v="C5"/>
    <s v="Xỉ"/>
    <d v="2026-02-24T00:00:00"/>
    <s v="Sơn Dương"/>
    <d v="2026-03-07T00:00:00"/>
    <s v="HCM"/>
    <n v="4796"/>
    <n v="193000"/>
    <n v="925628000"/>
    <x v="26"/>
    <m/>
    <m/>
    <n v="178703.70370370368"/>
    <n v="857062962.96296287"/>
    <n v="68565037.03703703"/>
    <n v="925627999.99999988"/>
    <n v="0"/>
    <n v="0"/>
    <n v="0"/>
    <x v="3"/>
    <n v="0"/>
    <n v="925627999.99999988"/>
    <m/>
    <m/>
  </r>
  <r>
    <n v="32026"/>
    <x v="3"/>
    <s v="C6"/>
    <s v="Cát"/>
    <d v="2026-03-08T00:00:00"/>
    <s v="Vĩnh Xương"/>
    <d v="2026-03-20T00:00:00"/>
    <s v="Đà Nẵng"/>
    <n v="4685.92"/>
    <n v="120000"/>
    <n v="562310400"/>
    <x v="27"/>
    <m/>
    <n v="20000"/>
    <n v="129629.62962962962"/>
    <n v="607434074.07407403"/>
    <n v="48594725.925925925"/>
    <n v="656028800"/>
    <n v="93718400"/>
    <n v="24297362.962962963"/>
    <n v="69421037.037037045"/>
    <x v="1"/>
    <n v="0"/>
    <n v="656028800"/>
    <m/>
    <m/>
  </r>
  <r>
    <n v="32026"/>
    <x v="3"/>
    <s v="C7"/>
    <s v="Clkiner"/>
    <d v="2026-03-21T00:00:00"/>
    <s v="Chân Mây"/>
    <d v="2026-04-01T00:00:00"/>
    <s v="Hậu Giang"/>
    <n v="4750.84"/>
    <n v="235000"/>
    <n v="1116447400"/>
    <x v="28"/>
    <m/>
    <m/>
    <n v="217592.59259259258"/>
    <n v="1033747592.5925926"/>
    <n v="82699807.407407403"/>
    <n v="1116447400"/>
    <n v="0"/>
    <n v="0"/>
    <n v="0"/>
    <x v="3"/>
    <n v="0"/>
    <n v="1116447400"/>
    <m/>
    <m/>
  </r>
  <r>
    <n v="42026"/>
    <x v="3"/>
    <s v="C8"/>
    <s v="Cát"/>
    <d v="2026-04-02T00:00:00"/>
    <s v="Vĩnh Xương"/>
    <d v="2026-04-11T00:00:00"/>
    <s v="Đà Nẵng"/>
    <n v="4683.28"/>
    <n v="145000"/>
    <n v="679075600"/>
    <x v="29"/>
    <m/>
    <m/>
    <n v="134259.25925925924"/>
    <n v="628773703.70370364"/>
    <n v="50301896.296296291"/>
    <n v="679075599.99999988"/>
    <n v="0"/>
    <n v="0"/>
    <n v="0"/>
    <x v="1"/>
    <n v="679075599.99999988"/>
    <m/>
    <m/>
    <m/>
  </r>
  <r>
    <n v="42026"/>
    <x v="3"/>
    <s v="C9"/>
    <s v="Xỉ"/>
    <d v="2026-04-12T00:00:00"/>
    <s v="Sơn Dương"/>
    <d v="2026-04-22T00:00:00"/>
    <s v="Hậu Giang"/>
    <n v="4795"/>
    <n v="253000"/>
    <n v="1213135000"/>
    <x v="30"/>
    <m/>
    <m/>
    <n v="234259.25925925924"/>
    <n v="1123273148.1481481"/>
    <n v="89861851.851851851"/>
    <n v="1213135000"/>
    <n v="0"/>
    <n v="0"/>
    <n v="0"/>
    <x v="3"/>
    <n v="1213135000"/>
    <m/>
    <m/>
    <m/>
  </r>
  <r>
    <n v="42026"/>
    <x v="3"/>
    <s v="C10"/>
    <s v="Cát"/>
    <d v="2026-04-23T00:00:00"/>
    <s v="Vĩnh Xương"/>
    <d v="2026-05-03T00:00:00"/>
    <s v="Đà Nẵng"/>
    <n v="4713.07"/>
    <n v="130000"/>
    <n v="612699100"/>
    <x v="31"/>
    <m/>
    <m/>
    <n v="120370.37037037036"/>
    <n v="567313981.48148143"/>
    <n v="45385118.518518515"/>
    <n v="612699100"/>
    <n v="0"/>
    <n v="0"/>
    <n v="0"/>
    <x v="1"/>
    <n v="612699100"/>
    <m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n v="12026"/>
    <x v="4"/>
    <s v="C1"/>
    <s v="Xỉ"/>
    <d v="2025-12-27T00:00:00"/>
    <s v="Sơn Dương"/>
    <d v="2026-01-03T00:00:00"/>
    <s v="HCM"/>
    <n v="4769"/>
    <n v="173000"/>
    <n v="825037000"/>
    <x v="32"/>
    <s v="5/1"/>
    <n v="10000"/>
    <n v="169444.44444444444"/>
    <n v="808080555.55555558"/>
    <n v="64646444.444444448"/>
    <n v="872727000"/>
    <n v="47690000"/>
    <n v="12364074.074074075"/>
    <n v="35325925.925925925"/>
    <x v="3"/>
    <n v="0"/>
    <n v="872727000"/>
    <m/>
    <m/>
  </r>
  <r>
    <n v="12026"/>
    <x v="4"/>
    <s v="C2"/>
    <s v="Cát"/>
    <d v="2026-01-04T00:00:00"/>
    <s v="Vĩnh Xương"/>
    <d v="2026-01-13T00:00:00"/>
    <s v="Đà Nẵng"/>
    <n v="4586.8900000000003"/>
    <n v="130000"/>
    <n v="596295700"/>
    <x v="33"/>
    <s v="16/1"/>
    <n v="2934.5155432111951"/>
    <n v="123087.51439186221"/>
    <n v="564588888.88888884"/>
    <n v="45167111.111111104"/>
    <n v="609756000"/>
    <n v="13460300"/>
    <n v="3489707.4074074076"/>
    <n v="9970592.5925925933"/>
    <x v="1"/>
    <n v="609756000"/>
    <m/>
    <m/>
    <m/>
  </r>
  <r>
    <n v="12026"/>
    <x v="4"/>
    <s v="C3"/>
    <s v="Clinker"/>
    <d v="2026-01-14T00:00:00"/>
    <s v="Hòn La"/>
    <d v="2026-01-23T00:00:00"/>
    <s v="Hậu Giang"/>
    <n v="4765.3"/>
    <n v="183000"/>
    <n v="872049900"/>
    <x v="34"/>
    <s v="26/1"/>
    <n v="0"/>
    <n v="169444.44444444444"/>
    <n v="807453611.11111116"/>
    <n v="64596288.888888896"/>
    <n v="872049900"/>
    <n v="0"/>
    <n v="0"/>
    <n v="0"/>
    <x v="1"/>
    <n v="872049900"/>
    <m/>
    <m/>
    <m/>
  </r>
  <r>
    <n v="12026"/>
    <x v="4"/>
    <s v="C4"/>
    <s v="Gỗ"/>
    <d v="2026-01-24T00:00:00"/>
    <s v="Cần Thơ"/>
    <d v="2026-02-06T00:00:00"/>
    <s v="Cửa Lò"/>
    <n v="1"/>
    <n v="320000000"/>
    <n v="320000000"/>
    <x v="35"/>
    <m/>
    <m/>
    <n v="296296296.2962963"/>
    <n v="296296296.2962963"/>
    <n v="23703703.703703705"/>
    <n v="320000000"/>
    <n v="0"/>
    <n v="0"/>
    <n v="0"/>
    <x v="3"/>
    <n v="0"/>
    <n v="320000000"/>
    <m/>
    <m/>
  </r>
  <r>
    <n v="22026"/>
    <x v="4"/>
    <s v="C5"/>
    <s v="Xỉ"/>
    <d v="2026-02-07T00:00:00"/>
    <s v="Sơn Dương"/>
    <d v="2026-02-15T00:00:00"/>
    <s v="Hậu Giang"/>
    <n v="4762"/>
    <n v="193000"/>
    <n v="919066000"/>
    <x v="25"/>
    <s v="23/1"/>
    <n v="10000"/>
    <n v="187962.96296296295"/>
    <n v="895079629.62962961"/>
    <n v="71606370.370370373"/>
    <n v="966686000"/>
    <n v="47620000"/>
    <n v="12345925.925925925"/>
    <n v="35274074.074074075"/>
    <x v="3"/>
    <n v="0"/>
    <n v="966686000"/>
    <m/>
    <m/>
  </r>
  <r>
    <n v="22026"/>
    <x v="4"/>
    <s v="C6"/>
    <s v="Quặng "/>
    <d v="2026-02-16T00:00:00"/>
    <s v="Vĩnh Xương"/>
    <d v="2026-03-05T00:00:00"/>
    <s v="Hải Phòng"/>
    <n v="4694.6499999999996"/>
    <n v="145000"/>
    <n v="680724250"/>
    <x v="36"/>
    <m/>
    <m/>
    <n v="134259.25925925924"/>
    <n v="630300231.48148131"/>
    <n v="50424018.518518507"/>
    <n v="680724249.99999976"/>
    <n v="0"/>
    <n v="0"/>
    <n v="0"/>
    <x v="3"/>
    <n v="0"/>
    <n v="680724249.99999976"/>
    <m/>
    <m/>
  </r>
  <r>
    <n v="32026"/>
    <x v="4"/>
    <s v="C7"/>
    <s v="Clinker"/>
    <d v="2026-03-06T00:00:00"/>
    <s v="Hòn La"/>
    <d v="2026-03-24T00:00:00"/>
    <s v="HCM"/>
    <n v="4785.3"/>
    <n v="193000"/>
    <n v="923562900"/>
    <x v="37"/>
    <m/>
    <m/>
    <n v="178703.70370370368"/>
    <n v="855150833.33333325"/>
    <n v="68412066.666666657"/>
    <n v="923562899.99999988"/>
    <n v="0"/>
    <n v="0"/>
    <n v="0"/>
    <x v="3"/>
    <n v="0"/>
    <n v="923562899.99999988"/>
    <m/>
    <m/>
  </r>
  <r>
    <n v="32026"/>
    <x v="4"/>
    <s v="C8"/>
    <s v="Than"/>
    <d v="2026-03-24T00:00:00"/>
    <s v="Gò Da"/>
    <d v="2026-03-30T00:00:00"/>
    <s v="Đà Nẵng"/>
    <n v="1"/>
    <n v="510000000"/>
    <n v="510000000"/>
    <x v="38"/>
    <m/>
    <m/>
    <n v="472222222.22222221"/>
    <n v="472222222.22222221"/>
    <n v="37777777.777777776"/>
    <n v="510000000"/>
    <n v="0"/>
    <n v="0"/>
    <n v="0"/>
    <x v="3"/>
    <n v="0"/>
    <n v="510000000"/>
    <m/>
    <m/>
  </r>
  <r>
    <n v="42026"/>
    <x v="4"/>
    <s v="C9"/>
    <s v="Xỉ"/>
    <d v="2026-03-30T00:00:00"/>
    <s v="Sơn Dương"/>
    <d v="2026-04-08T00:00:00"/>
    <s v="HCM"/>
    <n v="4773.09"/>
    <n v="243000"/>
    <n v="1159860870"/>
    <x v="39"/>
    <m/>
    <n v="0"/>
    <n v="224999.99999999997"/>
    <n v="1073945250"/>
    <n v="85915620"/>
    <n v="1159860870"/>
    <n v="0"/>
    <n v="0"/>
    <n v="0"/>
    <x v="3"/>
    <n v="0"/>
    <n v="1159860870"/>
    <m/>
    <m/>
  </r>
  <r>
    <n v="42026"/>
    <x v="4"/>
    <s v="C10"/>
    <s v="Gỗ"/>
    <d v="2026-04-09T00:00:00"/>
    <s v="Hậu Giang"/>
    <d v="2026-04-24T00:00:00"/>
    <s v="Đà Nẵng"/>
    <n v="1"/>
    <n v="687807407.4074074"/>
    <n v="687807407.4074074"/>
    <x v="40"/>
    <m/>
    <n v="-277807407"/>
    <n v="379629630.00685871"/>
    <n v="379629630.00685871"/>
    <n v="30370370.400548697"/>
    <n v="410000000.4074074"/>
    <n v="-277807407"/>
    <n v="0"/>
    <n v="-277807407"/>
    <x v="3"/>
    <n v="410000000.4074074"/>
    <m/>
    <m/>
    <m/>
  </r>
  <r>
    <n v="42026"/>
    <x v="4"/>
    <s v="C11"/>
    <s v="Clinker"/>
    <d v="2026-04-25T00:00:00"/>
    <s v="Chân Mây"/>
    <d v="2026-05-01T00:00:00"/>
    <s v="Hậu Giang"/>
    <n v="4785.03"/>
    <n v="210000"/>
    <n v="1004856300"/>
    <x v="41"/>
    <m/>
    <m/>
    <m/>
    <m/>
    <m/>
    <m/>
    <m/>
    <m/>
    <m/>
    <x v="3"/>
    <n v="0"/>
    <n v="0"/>
    <m/>
    <m/>
  </r>
  <r>
    <n v="52026"/>
    <x v="4"/>
    <s v="C12"/>
    <s v="Cát"/>
    <d v="2026-05-02T00:00:00"/>
    <s v="Vĩnh Xương"/>
    <d v="2026-05-10T00:00:00"/>
    <s v="Đà Nẵng"/>
    <n v="4695.13"/>
    <n v="125000"/>
    <n v="586891250"/>
    <x v="42"/>
    <m/>
    <m/>
    <m/>
    <m/>
    <m/>
    <m/>
    <m/>
    <m/>
    <m/>
    <x v="1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n v="12026"/>
    <x v="5"/>
    <s v="C1"/>
    <s v="Tro ẩm"/>
    <d v="2026-01-07T00:00:00"/>
    <s v="Vĩnh Tân"/>
    <d v="2026-01-19T00:00:00"/>
    <s v="Nghi Sơn"/>
    <n v="7322.56"/>
    <n v="95000"/>
    <n v="695643200"/>
    <x v="43"/>
    <s v="20/1"/>
    <m/>
    <n v="87962.962962962964"/>
    <n v="644114074.07407415"/>
    <n v="51529125.925925933"/>
    <n v="695643200.00000012"/>
    <n v="0"/>
    <n v="0"/>
    <n v="0"/>
    <x v="3"/>
    <n v="0"/>
    <n v="695643200.00000012"/>
    <m/>
    <m/>
  </r>
  <r>
    <n v="12026"/>
    <x v="5"/>
    <s v="C2"/>
    <s v="Clinker"/>
    <d v="2026-01-20T00:00:00"/>
    <s v="Nghi Sơn"/>
    <d v="2026-02-02T00:00:00"/>
    <s v="Hiệp Phước"/>
    <n v="7995.95"/>
    <n v="183000"/>
    <n v="1463258850"/>
    <x v="44"/>
    <m/>
    <n v="10000"/>
    <n v="178703.70370370368"/>
    <n v="1428905879.6296294"/>
    <n v="114312470.37037036"/>
    <n v="1543218349.9999998"/>
    <n v="79959499.999999762"/>
    <n v="20730240.740740679"/>
    <n v="59229259.259259082"/>
    <x v="3"/>
    <n v="0"/>
    <n v="1543218349.9999998"/>
    <m/>
    <m/>
  </r>
  <r>
    <n v="22026"/>
    <x v="5"/>
    <s v="C3"/>
    <s v="Đường"/>
    <d v="2026-02-03T00:00:00"/>
    <s v="Phú Mỹ"/>
    <d v="2026-02-09T00:00:00"/>
    <s v="Nam Vân Phong"/>
    <n v="4980.97"/>
    <n v="92000"/>
    <n v="458249240"/>
    <x v="45"/>
    <m/>
    <m/>
    <n v="85185.185185185182"/>
    <n v="424304851.85185188"/>
    <n v="33944388.148148149"/>
    <n v="458249240"/>
    <n v="0"/>
    <n v="0"/>
    <n v="0"/>
    <x v="5"/>
    <n v="0"/>
    <n v="458249240"/>
    <m/>
    <m/>
  </r>
  <r>
    <n v="22026"/>
    <x v="5"/>
    <s v="C4"/>
    <s v="Clinker"/>
    <d v="2026-02-10T00:00:00"/>
    <s v="Hòn La"/>
    <d v="2026-03-07T00:00:00"/>
    <s v="HCM"/>
    <n v="7972.3"/>
    <n v="187500"/>
    <n v="1494806250"/>
    <x v="46"/>
    <m/>
    <m/>
    <n v="173611.11111111109"/>
    <n v="1384079861.1111109"/>
    <n v="110726388.88888888"/>
    <n v="1494806249.9999998"/>
    <n v="0"/>
    <n v="0"/>
    <n v="0"/>
    <x v="3"/>
    <n v="0"/>
    <n v="1494806249.9999998"/>
    <m/>
    <m/>
  </r>
  <r>
    <n v="32026"/>
    <x v="5"/>
    <s v="C5"/>
    <s v="Xỉ"/>
    <d v="2026-03-08T00:00:00"/>
    <s v="Sơn Dương"/>
    <d v="2026-03-21T00:00:00"/>
    <s v="HCM"/>
    <n v="7998.27"/>
    <n v="200000"/>
    <n v="1599654000"/>
    <x v="47"/>
    <m/>
    <n v="25000"/>
    <n v="208333.33333333331"/>
    <n v="1666306250"/>
    <n v="133304500"/>
    <n v="1799610750"/>
    <n v="199956750"/>
    <n v="51840638.888888888"/>
    <n v="148116111.1111111"/>
    <x v="3"/>
    <n v="0"/>
    <n v="1799610750"/>
    <m/>
    <m/>
  </r>
  <r>
    <n v="32026"/>
    <x v="5"/>
    <s v="C6"/>
    <s v="Tôn Cuộn"/>
    <d v="2026-03-22T00:00:00"/>
    <s v="Gò Dầu"/>
    <d v="2026-04-03T00:00:00"/>
    <s v="Hải Phòng"/>
    <n v="8030.16"/>
    <n v="147000"/>
    <n v="1180433520"/>
    <x v="48"/>
    <m/>
    <m/>
    <n v="136111.11111111109"/>
    <n v="1092993999.9999998"/>
    <n v="87439519.999999985"/>
    <n v="1180433519.9999998"/>
    <n v="0"/>
    <n v="0"/>
    <n v="0"/>
    <x v="3"/>
    <n v="0"/>
    <n v="1180433519.9999998"/>
    <m/>
    <m/>
  </r>
  <r>
    <n v="42026"/>
    <x v="5"/>
    <s v="C7"/>
    <s v="Than"/>
    <d v="2026-04-04T00:00:00"/>
    <s v="Quảng Ninh"/>
    <d v="2026-04-11T00:00:00"/>
    <s v="Hòn La"/>
    <n v="7814.6"/>
    <n v="107000"/>
    <n v="836162200"/>
    <x v="49"/>
    <m/>
    <m/>
    <n v="99074.074074074073"/>
    <n v="774224259.25925934"/>
    <n v="61937940.740740746"/>
    <n v="836162200.00000012"/>
    <n v="0"/>
    <n v="0"/>
    <n v="0"/>
    <x v="1"/>
    <n v="836162200.00000012"/>
    <m/>
    <m/>
    <m/>
  </r>
  <r>
    <n v="42026"/>
    <x v="5"/>
    <s v="C8"/>
    <s v="Xỉ"/>
    <d v="2026-04-12T00:00:00"/>
    <s v="Sơn Dương"/>
    <d v="2026-04-20T00:00:00"/>
    <s v="Hậu Giang"/>
    <n v="7794"/>
    <n v="258000"/>
    <n v="2010852000"/>
    <x v="50"/>
    <m/>
    <m/>
    <n v="238888.88888888888"/>
    <n v="1861900000"/>
    <n v="148952000"/>
    <n v="2010852000"/>
    <n v="0"/>
    <n v="0"/>
    <n v="0"/>
    <x v="3"/>
    <n v="2010852000"/>
    <m/>
    <m/>
    <m/>
  </r>
  <r>
    <n v="42026"/>
    <x v="5"/>
    <s v="C9"/>
    <s v="Xỉ"/>
    <d v="2026-04-21T00:00:00"/>
    <s v="Sơn Dương"/>
    <d v="2026-05-04T00:00:00"/>
    <s v="Hậu Giang"/>
    <n v="7497"/>
    <n v="248000"/>
    <n v="1859256000"/>
    <x v="51"/>
    <m/>
    <m/>
    <n v="229629.62962962961"/>
    <n v="1721533333.3333333"/>
    <n v="137722666.66666666"/>
    <n v="1859256000"/>
    <n v="0"/>
    <n v="0"/>
    <n v="0"/>
    <x v="3"/>
    <n v="1859256000"/>
    <m/>
    <m/>
    <m/>
  </r>
  <r>
    <m/>
    <x v="5"/>
    <m/>
    <m/>
    <m/>
    <m/>
    <m/>
    <m/>
    <m/>
    <m/>
    <n v="0"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  <r>
    <m/>
    <x v="0"/>
    <m/>
    <m/>
    <m/>
    <m/>
    <m/>
    <m/>
    <m/>
    <m/>
    <m/>
    <x v="12"/>
    <m/>
    <m/>
    <m/>
    <m/>
    <m/>
    <m/>
    <m/>
    <m/>
    <m/>
    <x v="0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79E01-34AF-4DA4-8236-29EC55D745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2" firstHeaderRow="0" firstDataRow="1" firstDataCol="1"/>
  <pivotFields count="26">
    <pivotField showAll="0"/>
    <pivotField axis="axisRow" showAll="0">
      <items count="7">
        <item x="1"/>
        <item x="2"/>
        <item x="3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3">
        <item x="32"/>
        <item x="1"/>
        <item x="22"/>
        <item x="0"/>
        <item x="33"/>
        <item x="13"/>
        <item x="43"/>
        <item x="23"/>
        <item x="34"/>
        <item x="14"/>
        <item x="2"/>
        <item x="24"/>
        <item x="44"/>
        <item x="3"/>
        <item x="35"/>
        <item x="45"/>
        <item x="15"/>
        <item x="25"/>
        <item x="4"/>
        <item x="16"/>
        <item x="36"/>
        <item x="26"/>
        <item x="46"/>
        <item x="5"/>
        <item x="17"/>
        <item x="27"/>
        <item x="47"/>
        <item x="18"/>
        <item x="37"/>
        <item x="7"/>
        <item x="38"/>
        <item x="6"/>
        <item x="28"/>
        <item x="48"/>
        <item x="19"/>
        <item x="8"/>
        <item x="39"/>
        <item x="49"/>
        <item x="29"/>
        <item x="9"/>
        <item x="20"/>
        <item x="50"/>
        <item x="30"/>
        <item x="10"/>
        <item x="40"/>
        <item x="41"/>
        <item x="51"/>
        <item x="31"/>
        <item x="21"/>
        <item x="11"/>
        <item x="42"/>
        <item m="1" x="64"/>
        <item m="1" x="72"/>
        <item m="1" x="65"/>
        <item m="1" x="52"/>
        <item m="1" x="73"/>
        <item m="1" x="59"/>
        <item m="1" x="66"/>
        <item m="1" x="53"/>
        <item m="1" x="60"/>
        <item m="1" x="74"/>
        <item m="1" x="67"/>
        <item m="1" x="54"/>
        <item m="1" x="68"/>
        <item m="1" x="75"/>
        <item m="1" x="61"/>
        <item m="1" x="55"/>
        <item m="1" x="78"/>
        <item m="1" x="69"/>
        <item m="1" x="76"/>
        <item m="1" x="62"/>
        <item m="1" x="56"/>
        <item m="1" x="70"/>
        <item m="1" x="79"/>
        <item m="1" x="80"/>
        <item m="1" x="81"/>
        <item m="1" x="57"/>
        <item m="1" x="58"/>
        <item m="1" x="71"/>
        <item m="1" x="63"/>
        <item m="1" x="77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dataField="1" showAll="0"/>
    <pivotField showAll="0"/>
    <pivotField showAll="0"/>
    <pivotField showAll="0"/>
  </pivotFields>
  <rowFields count="3">
    <field x="21"/>
    <field x="1"/>
    <field x="11"/>
  </rowFields>
  <rowItems count="79">
    <i>
      <x/>
    </i>
    <i r="1">
      <x/>
    </i>
    <i r="2">
      <x v="3"/>
    </i>
    <i r="1">
      <x v="1"/>
    </i>
    <i r="2">
      <x v="48"/>
    </i>
    <i>
      <x v="1"/>
    </i>
    <i r="1">
      <x/>
    </i>
    <i r="2">
      <x v="1"/>
    </i>
    <i r="2">
      <x v="10"/>
    </i>
    <i r="2">
      <x v="18"/>
    </i>
    <i r="2">
      <x v="39"/>
    </i>
    <i r="1">
      <x v="1"/>
    </i>
    <i r="2">
      <x v="5"/>
    </i>
    <i r="2">
      <x v="24"/>
    </i>
    <i r="2">
      <x v="34"/>
    </i>
    <i r="1">
      <x v="2"/>
    </i>
    <i r="2">
      <x v="7"/>
    </i>
    <i r="2">
      <x v="25"/>
    </i>
    <i r="2">
      <x v="38"/>
    </i>
    <i r="2">
      <x v="47"/>
    </i>
    <i r="1">
      <x v="3"/>
    </i>
    <i r="2">
      <x v="37"/>
    </i>
    <i r="1">
      <x v="4"/>
    </i>
    <i r="2">
      <x v="4"/>
    </i>
    <i r="2">
      <x v="8"/>
    </i>
    <i r="2">
      <x v="50"/>
    </i>
    <i>
      <x v="2"/>
    </i>
    <i r="1">
      <x/>
    </i>
    <i r="2">
      <x v="13"/>
    </i>
    <i r="2">
      <x v="29"/>
    </i>
    <i r="2">
      <x v="31"/>
    </i>
    <i r="2">
      <x v="35"/>
    </i>
    <i r="2">
      <x v="43"/>
    </i>
    <i r="2">
      <x v="49"/>
    </i>
    <i r="1">
      <x v="1"/>
    </i>
    <i r="2">
      <x v="9"/>
    </i>
    <i r="2">
      <x v="16"/>
    </i>
    <i r="2">
      <x v="19"/>
    </i>
    <i r="2">
      <x v="27"/>
    </i>
    <i r="2">
      <x v="40"/>
    </i>
    <i r="1">
      <x v="2"/>
    </i>
    <i r="2">
      <x v="2"/>
    </i>
    <i r="2">
      <x v="11"/>
    </i>
    <i r="2">
      <x v="21"/>
    </i>
    <i r="2">
      <x v="32"/>
    </i>
    <i r="2">
      <x v="42"/>
    </i>
    <i r="1">
      <x v="3"/>
    </i>
    <i r="2">
      <x v="6"/>
    </i>
    <i r="2">
      <x v="12"/>
    </i>
    <i r="2">
      <x v="22"/>
    </i>
    <i r="2">
      <x v="26"/>
    </i>
    <i r="2">
      <x v="33"/>
    </i>
    <i r="2">
      <x v="41"/>
    </i>
    <i r="2">
      <x v="46"/>
    </i>
    <i r="1">
      <x v="4"/>
    </i>
    <i r="2">
      <x/>
    </i>
    <i r="2">
      <x v="14"/>
    </i>
    <i r="2">
      <x v="17"/>
    </i>
    <i r="2">
      <x v="20"/>
    </i>
    <i r="2">
      <x v="28"/>
    </i>
    <i r="2">
      <x v="30"/>
    </i>
    <i r="2">
      <x v="36"/>
    </i>
    <i r="2">
      <x v="44"/>
    </i>
    <i r="2">
      <x v="45"/>
    </i>
    <i>
      <x v="3"/>
    </i>
    <i r="1">
      <x/>
    </i>
    <i r="2">
      <x v="23"/>
    </i>
    <i r="1">
      <x v="2"/>
    </i>
    <i r="2">
      <x v="17"/>
    </i>
    <i>
      <x v="4"/>
    </i>
    <i r="1">
      <x v="3"/>
    </i>
    <i r="2">
      <x v="15"/>
    </i>
    <i>
      <x v="5"/>
    </i>
    <i r="1">
      <x v="3"/>
    </i>
    <i r="2">
      <x v="81"/>
    </i>
    <i r="1">
      <x v="5"/>
    </i>
    <i r="2">
      <x v="3"/>
    </i>
    <i r="2"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hực tế" fld="10" baseField="1" baseItem="0" numFmtId="164"/>
    <dataField name="Hoá đơn" fld="17" baseField="1" baseItem="0" numFmtId="164"/>
    <dataField name="Sum of Số tiền phải trả gửi giá" fld="20" baseField="11" baseItem="48" numFmtId="164"/>
    <dataField name="Sum of Công nợ" fld="22" baseField="0" baseItem="0" numFmtId="164"/>
  </dataFields>
  <formats count="8"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BF3DFD-A286-4558-86FB-6CDDF5EA2814}" name="Table2" displayName="Table2" ref="A3:Z82" totalsRowShown="0" headerRowDxfId="35" dataDxfId="34" tableBorderDxfId="33">
  <autoFilter ref="A3:Z82" xr:uid="{B9BF3DFD-A286-4558-86FB-6CDDF5EA2814}"/>
  <tableColumns count="26">
    <tableColumn id="1" xr3:uid="{E8E02CCD-2464-4A02-BF53-7A87289618CB}" name="Tháng" dataDxfId="32"/>
    <tableColumn id="2" xr3:uid="{6170319D-7453-48CD-9211-D0D4E509BE28}" name="Tên tàu" dataDxfId="31"/>
    <tableColumn id="3" xr3:uid="{B4DA1279-723D-4CF7-BC8B-D1BD560976BC}" name="Chuyến" dataDxfId="30"/>
    <tableColumn id="4" xr3:uid="{82FE0740-71F5-4F88-8559-C57D80837E4B}" name="Tên hàng" dataDxfId="29"/>
    <tableColumn id="5" xr3:uid="{AA31444A-5E78-407F-934D-E3060E172974}" name="Ngày_x000a_ xếp" dataDxfId="28"/>
    <tableColumn id="6" xr3:uid="{A7B029F2-5B16-494F-8BAD-6D8D4328BAD1}" name="Cảng xếp" dataDxfId="27"/>
    <tableColumn id="7" xr3:uid="{246EC314-E416-4271-AF4C-F30EC3118498}" name="Ngày dỡ" dataDxfId="26"/>
    <tableColumn id="8" xr3:uid="{3E5CC61C-E430-4578-83F6-003649D3DD08}" name="Cảng dỡ" dataDxfId="25"/>
    <tableColumn id="9" xr3:uid="{020B1C79-86E6-4548-8789-06FF0D3A31C1}" name="Khối lượng_x000a_ tính cước" dataDxfId="24"/>
    <tableColumn id="10" xr3:uid="{DD3F2FF4-0344-40D6-935D-FD971CDBF160}" name="Thực tế (Đơn giá_x000a_đã có VAT )" dataDxfId="23"/>
    <tableColumn id="11" xr3:uid="{8B99A283-73C7-4C06-9862-A1A7142F8755}" name="Thành tiền" dataDxfId="22"/>
    <tableColumn id="12" xr3:uid="{094AE9C3-9A54-408A-829E-612F4ABA97DC}" name="Số _x000a_hóa đơn" dataDxfId="21" dataCellStyle="Comma"/>
    <tableColumn id="13" xr3:uid="{AC9BCE77-4D15-48DF-A1F2-F1482577D28F}" name="Ngày xuất hoá đơn" dataDxfId="20"/>
    <tableColumn id="14" xr3:uid="{EC4EDDE6-B6F5-45F7-8B49-5FBD37C23149}" name="Tiền gửi" dataDxfId="19"/>
    <tableColumn id="15" xr3:uid="{FEF01951-FB6F-4345-A533-D4F84F523BEE}" name="Hóa đơn (Giá chưa VAT_x000a_/1.08)" dataDxfId="18"/>
    <tableColumn id="16" xr3:uid="{96C51EAC-8BE3-4F34-9701-22CC74670A47}" name="Thành tiền2" dataDxfId="17"/>
    <tableColumn id="17" xr3:uid="{D76219EA-1CF2-4A7C-8A15-AF202A144957}" name="VAT 8%" dataDxfId="16"/>
    <tableColumn id="18" xr3:uid="{942B373C-455C-4BB1-A901-8A51664110EC}" name="Tổng cộng" dataDxfId="15"/>
    <tableColumn id="19" xr3:uid="{4FABFD8B-12F7-40F5-9D18-D902B6940DA2}" name="Chênh lệch_x000a_sau thuế" dataDxfId="14"/>
    <tableColumn id="20" xr3:uid="{E4893159-58DE-47BB-8444-4D47CD91B1DA}" name="Thuế gửi" dataDxfId="13"/>
    <tableColumn id="21" xr3:uid="{CEA533FD-7AD6-4D7D-A6D6-3E7E71EFC9B4}" name="Số tiền phải trả gửi giá" dataDxfId="12"/>
    <tableColumn id="22" xr3:uid="{887FE7F7-2439-4257-BCB4-921C9579CAA7}" name="Đơn vị" dataDxfId="11"/>
    <tableColumn id="24" xr3:uid="{C7DA2A9B-0B65-4675-B144-5767ED6C7F20}" name="Công nợ" dataDxfId="10">
      <calculatedColumnFormula>+Table2[[#This Row],[Tổng cộng]]-SUM(X4:Z4)</calculatedColumnFormula>
    </tableColumn>
    <tableColumn id="28" xr3:uid="{3D14D4D0-1213-4979-82F1-C32120C69A62}" name="Hết tháng  14.5" dataDxfId="9"/>
    <tableColumn id="27" xr3:uid="{35A57587-1FFD-48BC-A564-45B919D521CD}" name="Tháng 5" dataDxfId="8"/>
    <tableColumn id="23" xr3:uid="{C8C450EA-C6E3-4490-A3B3-6BFDBDF294F0}" name="Tháng 6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47EA2-DFC2-4ABE-878E-9B24588CD704}" name="Table1" displayName="Table1" ref="A10:E46" totalsRowShown="0" headerRowDxfId="6" dataDxfId="5" dataCellStyle="Comma">
  <autoFilter ref="A10:E46" xr:uid="{ED447EA2-DFC2-4ABE-878E-9B24588CD704}"/>
  <tableColumns count="5">
    <tableColumn id="1" xr3:uid="{0DA02851-6D09-4C67-A138-8295431738F5}" name="Cảng" dataDxfId="4"/>
    <tableColumn id="2" xr3:uid="{26BF0725-4CD8-4C7F-971F-CDBF130DF33F}" name="Đại lý" dataDxfId="3" dataCellStyle="Comma"/>
    <tableColumn id="3" xr3:uid="{80534204-7C1B-4F87-A3F3-EF900AB83B77}" name="Tàu chi" dataDxfId="2" dataCellStyle="Comma"/>
    <tableColumn id="4" xr3:uid="{E0F5BA78-20AE-471E-840B-BF088B39BE02}" name="Hoa tiêu" dataDxfId="1" dataCellStyle="Comma"/>
    <tableColumn id="5" xr3:uid="{14943C0A-8420-4971-A200-7C28A618F2E8}" name="Tổ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78F9-B70F-48DB-85A1-6B1A15E3B785}">
  <dimension ref="A3:E201"/>
  <sheetViews>
    <sheetView topLeftCell="A34" workbookViewId="0">
      <selection activeCell="G31" sqref="G31"/>
    </sheetView>
  </sheetViews>
  <sheetFormatPr defaultRowHeight="15" x14ac:dyDescent="0.25"/>
  <cols>
    <col min="1" max="1" width="17.85546875" bestFit="1" customWidth="1"/>
    <col min="2" max="3" width="15.28515625" style="314" bestFit="1" customWidth="1"/>
    <col min="4" max="4" width="29.28515625" style="314" bestFit="1" customWidth="1"/>
    <col min="5" max="5" width="16.5703125" style="314" bestFit="1" customWidth="1"/>
  </cols>
  <sheetData>
    <row r="3" spans="1:5" x14ac:dyDescent="0.25">
      <c r="A3" s="310" t="s">
        <v>268</v>
      </c>
      <c r="B3" s="315" t="s">
        <v>19</v>
      </c>
      <c r="C3" s="315" t="s">
        <v>277</v>
      </c>
      <c r="D3" s="315" t="s">
        <v>271</v>
      </c>
      <c r="E3" s="315" t="s">
        <v>276</v>
      </c>
    </row>
    <row r="4" spans="1:5" x14ac:dyDescent="0.25">
      <c r="A4" s="311" t="s">
        <v>215</v>
      </c>
      <c r="B4" s="315">
        <v>1456712000</v>
      </c>
      <c r="C4" s="315">
        <v>1456712000</v>
      </c>
      <c r="D4" s="315">
        <v>0</v>
      </c>
      <c r="E4" s="315">
        <v>0</v>
      </c>
    </row>
    <row r="5" spans="1:5" x14ac:dyDescent="0.25">
      <c r="A5" s="312" t="s">
        <v>2</v>
      </c>
      <c r="B5" s="315">
        <v>638072000</v>
      </c>
      <c r="C5" s="315">
        <v>638072000</v>
      </c>
      <c r="D5" s="315">
        <v>0</v>
      </c>
      <c r="E5" s="315">
        <v>0</v>
      </c>
    </row>
    <row r="6" spans="1:5" x14ac:dyDescent="0.25">
      <c r="A6" s="313">
        <v>4</v>
      </c>
      <c r="B6" s="315">
        <v>638072000</v>
      </c>
      <c r="C6" s="315">
        <v>638072000</v>
      </c>
      <c r="D6" s="315">
        <v>0</v>
      </c>
      <c r="E6" s="315">
        <v>0</v>
      </c>
    </row>
    <row r="7" spans="1:5" x14ac:dyDescent="0.25">
      <c r="A7" s="312" t="s">
        <v>0</v>
      </c>
      <c r="B7" s="315">
        <v>818640000</v>
      </c>
      <c r="C7" s="315">
        <v>818640000</v>
      </c>
      <c r="D7" s="315">
        <v>0</v>
      </c>
      <c r="E7" s="315">
        <v>0</v>
      </c>
    </row>
    <row r="8" spans="1:5" x14ac:dyDescent="0.25">
      <c r="A8" s="313">
        <v>50</v>
      </c>
      <c r="B8" s="315">
        <v>818640000</v>
      </c>
      <c r="C8" s="315">
        <v>818640000</v>
      </c>
      <c r="D8" s="315">
        <v>0</v>
      </c>
      <c r="E8" s="315">
        <v>0</v>
      </c>
    </row>
    <row r="9" spans="1:5" x14ac:dyDescent="0.25">
      <c r="A9" s="311" t="s">
        <v>63</v>
      </c>
      <c r="B9" s="315">
        <v>9196737300</v>
      </c>
      <c r="C9" s="315">
        <v>9057734000</v>
      </c>
      <c r="D9" s="315">
        <v>331768851.85185158</v>
      </c>
      <c r="E9" s="315">
        <v>5007026750</v>
      </c>
    </row>
    <row r="10" spans="1:5" x14ac:dyDescent="0.25">
      <c r="A10" s="312" t="s">
        <v>2</v>
      </c>
      <c r="B10" s="315">
        <v>2059699100</v>
      </c>
      <c r="C10" s="315">
        <v>2189277200</v>
      </c>
      <c r="D10" s="315">
        <v>95983777.777777687</v>
      </c>
      <c r="E10" s="315">
        <v>617121649.99999988</v>
      </c>
    </row>
    <row r="11" spans="1:5" x14ac:dyDescent="0.25">
      <c r="A11" s="313">
        <v>2</v>
      </c>
      <c r="B11" s="315">
        <v>490256250</v>
      </c>
      <c r="C11" s="315">
        <v>541242900</v>
      </c>
      <c r="D11" s="315">
        <v>37767888.888888888</v>
      </c>
      <c r="E11" s="315">
        <v>0</v>
      </c>
    </row>
    <row r="12" spans="1:5" x14ac:dyDescent="0.25">
      <c r="A12" s="313">
        <v>11</v>
      </c>
      <c r="B12" s="315">
        <v>477002400</v>
      </c>
      <c r="C12" s="315">
        <v>496178999.99999994</v>
      </c>
      <c r="D12" s="315">
        <v>14204888.888888843</v>
      </c>
      <c r="E12" s="315">
        <v>0</v>
      </c>
    </row>
    <row r="13" spans="1:5" x14ac:dyDescent="0.25">
      <c r="A13" s="313">
        <v>20</v>
      </c>
      <c r="B13" s="315">
        <v>475318800</v>
      </c>
      <c r="C13" s="315">
        <v>534733649.99999994</v>
      </c>
      <c r="D13" s="315">
        <v>44010999.999999955</v>
      </c>
      <c r="E13" s="315">
        <v>0</v>
      </c>
    </row>
    <row r="14" spans="1:5" x14ac:dyDescent="0.25">
      <c r="A14" s="313">
        <v>41</v>
      </c>
      <c r="B14" s="315">
        <v>617121650</v>
      </c>
      <c r="C14" s="315">
        <v>617121649.99999988</v>
      </c>
      <c r="D14" s="315">
        <v>0</v>
      </c>
      <c r="E14" s="315">
        <v>617121649.99999988</v>
      </c>
    </row>
    <row r="15" spans="1:5" x14ac:dyDescent="0.25">
      <c r="A15" s="312" t="s">
        <v>0</v>
      </c>
      <c r="B15" s="315">
        <v>1814150300</v>
      </c>
      <c r="C15" s="315">
        <v>1985624000</v>
      </c>
      <c r="D15" s="315">
        <v>127017555.55555546</v>
      </c>
      <c r="E15" s="315">
        <v>780162299.99999988</v>
      </c>
    </row>
    <row r="16" spans="1:5" x14ac:dyDescent="0.25">
      <c r="A16" s="313">
        <v>6</v>
      </c>
      <c r="B16" s="315">
        <v>573185000</v>
      </c>
      <c r="C16" s="315">
        <v>560777099.99999988</v>
      </c>
      <c r="D16" s="315">
        <v>-9191037.0370371249</v>
      </c>
      <c r="E16" s="315">
        <v>0</v>
      </c>
    </row>
    <row r="17" spans="1:5" x14ac:dyDescent="0.25">
      <c r="A17" s="313">
        <v>26</v>
      </c>
      <c r="B17" s="315">
        <v>552586800</v>
      </c>
      <c r="C17" s="315">
        <v>644684600</v>
      </c>
      <c r="D17" s="315">
        <v>68220592.592592597</v>
      </c>
      <c r="E17" s="315">
        <v>0</v>
      </c>
    </row>
    <row r="18" spans="1:5" x14ac:dyDescent="0.25">
      <c r="A18" s="313">
        <v>36</v>
      </c>
      <c r="B18" s="315">
        <v>688378499.99999988</v>
      </c>
      <c r="C18" s="315">
        <v>780162299.99999988</v>
      </c>
      <c r="D18" s="315">
        <v>67988000</v>
      </c>
      <c r="E18" s="315">
        <v>780162299.99999988</v>
      </c>
    </row>
    <row r="19" spans="1:5" x14ac:dyDescent="0.25">
      <c r="A19" s="312" t="s">
        <v>11</v>
      </c>
      <c r="B19" s="315">
        <v>2431488850</v>
      </c>
      <c r="C19" s="315">
        <v>2564864700</v>
      </c>
      <c r="D19" s="315">
        <v>98796925.925925851</v>
      </c>
      <c r="E19" s="315">
        <v>1291774700</v>
      </c>
    </row>
    <row r="20" spans="1:5" x14ac:dyDescent="0.25">
      <c r="A20" s="313">
        <v>8</v>
      </c>
      <c r="B20" s="315">
        <v>577403750</v>
      </c>
      <c r="C20" s="315">
        <v>617061199.99999988</v>
      </c>
      <c r="D20" s="315">
        <v>29375888.888888799</v>
      </c>
      <c r="E20" s="315">
        <v>0</v>
      </c>
    </row>
    <row r="21" spans="1:5" x14ac:dyDescent="0.25">
      <c r="A21" s="313">
        <v>27</v>
      </c>
      <c r="B21" s="315">
        <v>562310400</v>
      </c>
      <c r="C21" s="315">
        <v>656028800</v>
      </c>
      <c r="D21" s="315">
        <v>69421037.037037045</v>
      </c>
      <c r="E21" s="315">
        <v>0</v>
      </c>
    </row>
    <row r="22" spans="1:5" x14ac:dyDescent="0.25">
      <c r="A22" s="313">
        <v>40</v>
      </c>
      <c r="B22" s="315">
        <v>679075600</v>
      </c>
      <c r="C22" s="315">
        <v>679075599.99999988</v>
      </c>
      <c r="D22" s="315">
        <v>0</v>
      </c>
      <c r="E22" s="315">
        <v>679075599.99999988</v>
      </c>
    </row>
    <row r="23" spans="1:5" x14ac:dyDescent="0.25">
      <c r="A23" s="313">
        <v>49</v>
      </c>
      <c r="B23" s="315">
        <v>612699100</v>
      </c>
      <c r="C23" s="315">
        <v>612699100</v>
      </c>
      <c r="D23" s="315">
        <v>0</v>
      </c>
      <c r="E23" s="315">
        <v>612699100</v>
      </c>
    </row>
    <row r="24" spans="1:5" x14ac:dyDescent="0.25">
      <c r="A24" s="312" t="s">
        <v>65</v>
      </c>
      <c r="B24" s="315">
        <v>836162200</v>
      </c>
      <c r="C24" s="315">
        <v>836162200.00000012</v>
      </c>
      <c r="D24" s="315">
        <v>0</v>
      </c>
      <c r="E24" s="315">
        <v>836162200.00000012</v>
      </c>
    </row>
    <row r="25" spans="1:5" x14ac:dyDescent="0.25">
      <c r="A25" s="313">
        <v>39</v>
      </c>
      <c r="B25" s="315">
        <v>836162200</v>
      </c>
      <c r="C25" s="315">
        <v>836162200.00000012</v>
      </c>
      <c r="D25" s="315">
        <v>0</v>
      </c>
      <c r="E25" s="315">
        <v>836162200.00000012</v>
      </c>
    </row>
    <row r="26" spans="1:5" x14ac:dyDescent="0.25">
      <c r="A26" s="312" t="s">
        <v>1</v>
      </c>
      <c r="B26" s="315">
        <v>2055236850</v>
      </c>
      <c r="C26" s="315">
        <v>1481805900</v>
      </c>
      <c r="D26" s="315">
        <v>9970592.5925925933</v>
      </c>
      <c r="E26" s="315">
        <v>1481805900</v>
      </c>
    </row>
    <row r="27" spans="1:5" x14ac:dyDescent="0.25">
      <c r="A27" s="313">
        <v>5</v>
      </c>
      <c r="B27" s="315">
        <v>596295700</v>
      </c>
      <c r="C27" s="315">
        <v>609756000</v>
      </c>
      <c r="D27" s="315">
        <v>9970592.5925925933</v>
      </c>
      <c r="E27" s="315">
        <v>609756000</v>
      </c>
    </row>
    <row r="28" spans="1:5" x14ac:dyDescent="0.25">
      <c r="A28" s="313">
        <v>9</v>
      </c>
      <c r="B28" s="315">
        <v>872049900</v>
      </c>
      <c r="C28" s="315">
        <v>872049900</v>
      </c>
      <c r="D28" s="315">
        <v>0</v>
      </c>
      <c r="E28" s="315">
        <v>872049900</v>
      </c>
    </row>
    <row r="29" spans="1:5" x14ac:dyDescent="0.25">
      <c r="A29" s="313">
        <v>52</v>
      </c>
      <c r="B29" s="315">
        <v>586891250</v>
      </c>
      <c r="C29" s="315"/>
      <c r="D29" s="315"/>
      <c r="E29" s="315">
        <v>0</v>
      </c>
    </row>
    <row r="30" spans="1:5" x14ac:dyDescent="0.25">
      <c r="A30" s="311" t="s">
        <v>62</v>
      </c>
      <c r="B30" s="315">
        <v>30608050357.407406</v>
      </c>
      <c r="C30" s="315">
        <v>30065519700.407406</v>
      </c>
      <c r="D30" s="315">
        <v>270439296.7037034</v>
      </c>
      <c r="E30" s="315">
        <v>6967210100.4074078</v>
      </c>
    </row>
    <row r="31" spans="1:5" x14ac:dyDescent="0.25">
      <c r="A31" s="312" t="s">
        <v>2</v>
      </c>
      <c r="B31" s="315">
        <v>4329248010</v>
      </c>
      <c r="C31" s="315">
        <v>4361312010</v>
      </c>
      <c r="D31" s="315">
        <v>23751111.111111112</v>
      </c>
      <c r="E31" s="315">
        <v>1473967100</v>
      </c>
    </row>
    <row r="32" spans="1:5" x14ac:dyDescent="0.25">
      <c r="A32" s="313">
        <v>14</v>
      </c>
      <c r="B32" s="315">
        <v>893784000</v>
      </c>
      <c r="C32" s="315">
        <v>925848000</v>
      </c>
      <c r="D32" s="315">
        <v>23751111.111111112</v>
      </c>
      <c r="E32" s="315">
        <v>0</v>
      </c>
    </row>
    <row r="33" spans="1:5" x14ac:dyDescent="0.25">
      <c r="A33" s="313">
        <v>31</v>
      </c>
      <c r="B33" s="315">
        <v>346465800</v>
      </c>
      <c r="C33" s="315">
        <v>346465799.99999994</v>
      </c>
      <c r="D33" s="315">
        <v>0</v>
      </c>
      <c r="E33" s="315">
        <v>0</v>
      </c>
    </row>
    <row r="34" spans="1:5" x14ac:dyDescent="0.25">
      <c r="A34" s="313">
        <v>33</v>
      </c>
      <c r="B34" s="315">
        <v>603790110</v>
      </c>
      <c r="C34" s="315">
        <v>603790110</v>
      </c>
      <c r="D34" s="315">
        <v>0</v>
      </c>
      <c r="E34" s="315">
        <v>0</v>
      </c>
    </row>
    <row r="35" spans="1:5" x14ac:dyDescent="0.25">
      <c r="A35" s="313">
        <v>37</v>
      </c>
      <c r="B35" s="315">
        <v>1011241000</v>
      </c>
      <c r="C35" s="315">
        <v>1011241000</v>
      </c>
      <c r="D35" s="315">
        <v>0</v>
      </c>
      <c r="E35" s="315">
        <v>0</v>
      </c>
    </row>
    <row r="36" spans="1:5" x14ac:dyDescent="0.25">
      <c r="A36" s="313">
        <v>45</v>
      </c>
      <c r="B36" s="315">
        <v>841736700</v>
      </c>
      <c r="C36" s="315">
        <v>841736699.99999988</v>
      </c>
      <c r="D36" s="315">
        <v>0</v>
      </c>
      <c r="E36" s="315">
        <v>841736699.99999988</v>
      </c>
    </row>
    <row r="37" spans="1:5" x14ac:dyDescent="0.25">
      <c r="A37" s="313">
        <v>51</v>
      </c>
      <c r="B37" s="315">
        <v>632230400</v>
      </c>
      <c r="C37" s="315">
        <v>632230400</v>
      </c>
      <c r="D37" s="315">
        <v>0</v>
      </c>
      <c r="E37" s="315">
        <v>632230400</v>
      </c>
    </row>
    <row r="38" spans="1:5" x14ac:dyDescent="0.25">
      <c r="A38" s="312" t="s">
        <v>0</v>
      </c>
      <c r="B38" s="315">
        <v>3879481400</v>
      </c>
      <c r="C38" s="315">
        <v>4116084200</v>
      </c>
      <c r="D38" s="315">
        <v>175261333.33333334</v>
      </c>
      <c r="E38" s="315">
        <v>0</v>
      </c>
    </row>
    <row r="39" spans="1:5" x14ac:dyDescent="0.25">
      <c r="A39" s="313">
        <v>10</v>
      </c>
      <c r="B39" s="315">
        <v>845150400</v>
      </c>
      <c r="C39" s="315">
        <v>892103200</v>
      </c>
      <c r="D39" s="315">
        <v>34779851.851851851</v>
      </c>
      <c r="E39" s="315">
        <v>0</v>
      </c>
    </row>
    <row r="40" spans="1:5" x14ac:dyDescent="0.25">
      <c r="A40" s="313">
        <v>17</v>
      </c>
      <c r="B40" s="315">
        <v>434767500</v>
      </c>
      <c r="C40" s="315">
        <v>434767500</v>
      </c>
      <c r="D40" s="315">
        <v>0</v>
      </c>
      <c r="E40" s="315">
        <v>0</v>
      </c>
    </row>
    <row r="41" spans="1:5" x14ac:dyDescent="0.25">
      <c r="A41" s="313">
        <v>21</v>
      </c>
      <c r="B41" s="315">
        <v>915785000</v>
      </c>
      <c r="C41" s="315">
        <v>963235000</v>
      </c>
      <c r="D41" s="315">
        <v>35148148.148148149</v>
      </c>
      <c r="E41" s="315">
        <v>0</v>
      </c>
    </row>
    <row r="42" spans="1:5" x14ac:dyDescent="0.25">
      <c r="A42" s="313">
        <v>29</v>
      </c>
      <c r="B42" s="315">
        <v>995400000</v>
      </c>
      <c r="C42" s="315">
        <v>1137600000</v>
      </c>
      <c r="D42" s="315">
        <v>105333333.33333334</v>
      </c>
      <c r="E42" s="315">
        <v>0</v>
      </c>
    </row>
    <row r="43" spans="1:5" x14ac:dyDescent="0.25">
      <c r="A43" s="313">
        <v>42</v>
      </c>
      <c r="B43" s="315">
        <v>688378499.99999988</v>
      </c>
      <c r="C43" s="315">
        <v>688378499.99999988</v>
      </c>
      <c r="D43" s="315">
        <v>0</v>
      </c>
      <c r="E43" s="315">
        <v>0</v>
      </c>
    </row>
    <row r="44" spans="1:5" x14ac:dyDescent="0.25">
      <c r="A44" s="312" t="s">
        <v>11</v>
      </c>
      <c r="B44" s="315">
        <v>5064502400</v>
      </c>
      <c r="C44" s="315">
        <v>5160742400</v>
      </c>
      <c r="D44" s="315">
        <v>71288888.888888806</v>
      </c>
      <c r="E44" s="315">
        <v>1213135000</v>
      </c>
    </row>
    <row r="45" spans="1:5" x14ac:dyDescent="0.25">
      <c r="A45" s="313">
        <v>3</v>
      </c>
      <c r="B45" s="315">
        <v>880962000</v>
      </c>
      <c r="C45" s="315">
        <v>929101999.99999988</v>
      </c>
      <c r="D45" s="315">
        <v>35659259.259259172</v>
      </c>
      <c r="E45" s="315">
        <v>0</v>
      </c>
    </row>
    <row r="46" spans="1:5" x14ac:dyDescent="0.25">
      <c r="A46" s="313">
        <v>12</v>
      </c>
      <c r="B46" s="315">
        <v>928330000</v>
      </c>
      <c r="C46" s="315">
        <v>976430000</v>
      </c>
      <c r="D46" s="315">
        <v>35629629.629629627</v>
      </c>
      <c r="E46" s="315">
        <v>0</v>
      </c>
    </row>
    <row r="47" spans="1:5" x14ac:dyDescent="0.25">
      <c r="A47" s="313">
        <v>23</v>
      </c>
      <c r="B47" s="315">
        <v>925628000</v>
      </c>
      <c r="C47" s="315">
        <v>925627999.99999988</v>
      </c>
      <c r="D47" s="315">
        <v>0</v>
      </c>
      <c r="E47" s="315">
        <v>0</v>
      </c>
    </row>
    <row r="48" spans="1:5" x14ac:dyDescent="0.25">
      <c r="A48" s="313">
        <v>34</v>
      </c>
      <c r="B48" s="315">
        <v>1116447400</v>
      </c>
      <c r="C48" s="315">
        <v>1116447400</v>
      </c>
      <c r="D48" s="315">
        <v>0</v>
      </c>
      <c r="E48" s="315">
        <v>0</v>
      </c>
    </row>
    <row r="49" spans="1:5" x14ac:dyDescent="0.25">
      <c r="A49" s="313">
        <v>44</v>
      </c>
      <c r="B49" s="315">
        <v>1213135000</v>
      </c>
      <c r="C49" s="315">
        <v>1213135000</v>
      </c>
      <c r="D49" s="315">
        <v>0</v>
      </c>
      <c r="E49" s="315">
        <v>1213135000</v>
      </c>
    </row>
    <row r="50" spans="1:5" x14ac:dyDescent="0.25">
      <c r="A50" s="312" t="s">
        <v>65</v>
      </c>
      <c r="B50" s="315">
        <v>10303903820</v>
      </c>
      <c r="C50" s="315">
        <v>10583820070</v>
      </c>
      <c r="D50" s="315">
        <v>207345370.37037018</v>
      </c>
      <c r="E50" s="315">
        <v>3870108000</v>
      </c>
    </row>
    <row r="51" spans="1:5" x14ac:dyDescent="0.25">
      <c r="A51" s="313">
        <v>7</v>
      </c>
      <c r="B51" s="315">
        <v>695643200</v>
      </c>
      <c r="C51" s="315">
        <v>695643200.00000012</v>
      </c>
      <c r="D51" s="315">
        <v>0</v>
      </c>
      <c r="E51" s="315">
        <v>0</v>
      </c>
    </row>
    <row r="52" spans="1:5" x14ac:dyDescent="0.25">
      <c r="A52" s="313">
        <v>13</v>
      </c>
      <c r="B52" s="315">
        <v>1463258850</v>
      </c>
      <c r="C52" s="315">
        <v>1543218349.9999998</v>
      </c>
      <c r="D52" s="315">
        <v>59229259.259259082</v>
      </c>
      <c r="E52" s="315">
        <v>0</v>
      </c>
    </row>
    <row r="53" spans="1:5" x14ac:dyDescent="0.25">
      <c r="A53" s="313">
        <v>24</v>
      </c>
      <c r="B53" s="315">
        <v>1494806250</v>
      </c>
      <c r="C53" s="315">
        <v>1494806249.9999998</v>
      </c>
      <c r="D53" s="315">
        <v>0</v>
      </c>
      <c r="E53" s="315">
        <v>0</v>
      </c>
    </row>
    <row r="54" spans="1:5" x14ac:dyDescent="0.25">
      <c r="A54" s="313">
        <v>28</v>
      </c>
      <c r="B54" s="315">
        <v>1599654000</v>
      </c>
      <c r="C54" s="315">
        <v>1799610750</v>
      </c>
      <c r="D54" s="315">
        <v>148116111.1111111</v>
      </c>
      <c r="E54" s="315">
        <v>0</v>
      </c>
    </row>
    <row r="55" spans="1:5" x14ac:dyDescent="0.25">
      <c r="A55" s="313">
        <v>35</v>
      </c>
      <c r="B55" s="315">
        <v>1180433520</v>
      </c>
      <c r="C55" s="315">
        <v>1180433519.9999998</v>
      </c>
      <c r="D55" s="315">
        <v>0</v>
      </c>
      <c r="E55" s="315">
        <v>0</v>
      </c>
    </row>
    <row r="56" spans="1:5" x14ac:dyDescent="0.25">
      <c r="A56" s="313">
        <v>43</v>
      </c>
      <c r="B56" s="315">
        <v>2010852000</v>
      </c>
      <c r="C56" s="315">
        <v>2010852000</v>
      </c>
      <c r="D56" s="315">
        <v>0</v>
      </c>
      <c r="E56" s="315">
        <v>2010852000</v>
      </c>
    </row>
    <row r="57" spans="1:5" x14ac:dyDescent="0.25">
      <c r="A57" s="313">
        <v>48</v>
      </c>
      <c r="B57" s="315">
        <v>1859256000</v>
      </c>
      <c r="C57" s="315">
        <v>1859256000</v>
      </c>
      <c r="D57" s="315">
        <v>0</v>
      </c>
      <c r="E57" s="315">
        <v>1859256000</v>
      </c>
    </row>
    <row r="58" spans="1:5" x14ac:dyDescent="0.25">
      <c r="A58" s="312" t="s">
        <v>1</v>
      </c>
      <c r="B58" s="315">
        <v>7030914727.4074078</v>
      </c>
      <c r="C58" s="315">
        <v>5843561020.4074078</v>
      </c>
      <c r="D58" s="315">
        <v>-207207407</v>
      </c>
      <c r="E58" s="315">
        <v>410000000.4074074</v>
      </c>
    </row>
    <row r="59" spans="1:5" x14ac:dyDescent="0.25">
      <c r="A59" s="313">
        <v>1</v>
      </c>
      <c r="B59" s="315">
        <v>825037000</v>
      </c>
      <c r="C59" s="315">
        <v>872727000</v>
      </c>
      <c r="D59" s="315">
        <v>35325925.925925925</v>
      </c>
      <c r="E59" s="315">
        <v>0</v>
      </c>
    </row>
    <row r="60" spans="1:5" x14ac:dyDescent="0.25">
      <c r="A60" s="313">
        <v>15</v>
      </c>
      <c r="B60" s="315">
        <v>320000000</v>
      </c>
      <c r="C60" s="315">
        <v>320000000</v>
      </c>
      <c r="D60" s="315">
        <v>0</v>
      </c>
      <c r="E60" s="315">
        <v>0</v>
      </c>
    </row>
    <row r="61" spans="1:5" x14ac:dyDescent="0.25">
      <c r="A61" s="313">
        <v>18</v>
      </c>
      <c r="B61" s="315">
        <v>919066000</v>
      </c>
      <c r="C61" s="315">
        <v>966686000</v>
      </c>
      <c r="D61" s="315">
        <v>35274074.074074075</v>
      </c>
      <c r="E61" s="315">
        <v>0</v>
      </c>
    </row>
    <row r="62" spans="1:5" x14ac:dyDescent="0.25">
      <c r="A62" s="313">
        <v>22</v>
      </c>
      <c r="B62" s="315">
        <v>680724250</v>
      </c>
      <c r="C62" s="315">
        <v>680724249.99999976</v>
      </c>
      <c r="D62" s="315">
        <v>0</v>
      </c>
      <c r="E62" s="315">
        <v>0</v>
      </c>
    </row>
    <row r="63" spans="1:5" x14ac:dyDescent="0.25">
      <c r="A63" s="313">
        <v>30</v>
      </c>
      <c r="B63" s="315">
        <v>923562900</v>
      </c>
      <c r="C63" s="315">
        <v>923562899.99999988</v>
      </c>
      <c r="D63" s="315">
        <v>0</v>
      </c>
      <c r="E63" s="315">
        <v>0</v>
      </c>
    </row>
    <row r="64" spans="1:5" x14ac:dyDescent="0.25">
      <c r="A64" s="313">
        <v>32</v>
      </c>
      <c r="B64" s="315">
        <v>510000000</v>
      </c>
      <c r="C64" s="315">
        <v>510000000</v>
      </c>
      <c r="D64" s="315">
        <v>0</v>
      </c>
      <c r="E64" s="315">
        <v>0</v>
      </c>
    </row>
    <row r="65" spans="1:5" x14ac:dyDescent="0.25">
      <c r="A65" s="313">
        <v>38</v>
      </c>
      <c r="B65" s="315">
        <v>1159860870</v>
      </c>
      <c r="C65" s="315">
        <v>1159860870</v>
      </c>
      <c r="D65" s="315">
        <v>0</v>
      </c>
      <c r="E65" s="315">
        <v>0</v>
      </c>
    </row>
    <row r="66" spans="1:5" x14ac:dyDescent="0.25">
      <c r="A66" s="313">
        <v>46</v>
      </c>
      <c r="B66" s="315">
        <v>687807407.4074074</v>
      </c>
      <c r="C66" s="315">
        <v>410000000.4074074</v>
      </c>
      <c r="D66" s="315">
        <v>-277807407</v>
      </c>
      <c r="E66" s="315">
        <v>410000000.4074074</v>
      </c>
    </row>
    <row r="67" spans="1:5" x14ac:dyDescent="0.25">
      <c r="A67" s="313">
        <v>47</v>
      </c>
      <c r="B67" s="315">
        <v>1004856300</v>
      </c>
      <c r="C67" s="315"/>
      <c r="D67" s="315"/>
      <c r="E67" s="315">
        <v>0</v>
      </c>
    </row>
    <row r="68" spans="1:5" x14ac:dyDescent="0.25">
      <c r="A68" s="311" t="s">
        <v>157</v>
      </c>
      <c r="B68" s="315">
        <v>1475283600</v>
      </c>
      <c r="C68" s="315">
        <v>1543276800</v>
      </c>
      <c r="D68" s="315">
        <v>50365333.333333328</v>
      </c>
      <c r="E68" s="315">
        <v>0</v>
      </c>
    </row>
    <row r="69" spans="1:5" x14ac:dyDescent="0.25">
      <c r="A69" s="312" t="s">
        <v>2</v>
      </c>
      <c r="B69" s="315">
        <v>799920000</v>
      </c>
      <c r="C69" s="315">
        <v>867913200</v>
      </c>
      <c r="D69" s="315">
        <v>50365333.333333328</v>
      </c>
      <c r="E69" s="315">
        <v>0</v>
      </c>
    </row>
    <row r="70" spans="1:5" x14ac:dyDescent="0.25">
      <c r="A70" s="313">
        <v>25</v>
      </c>
      <c r="B70" s="315">
        <v>799920000</v>
      </c>
      <c r="C70" s="315">
        <v>867913200</v>
      </c>
      <c r="D70" s="315">
        <v>50365333.333333328</v>
      </c>
      <c r="E70" s="315">
        <v>0</v>
      </c>
    </row>
    <row r="71" spans="1:5" x14ac:dyDescent="0.25">
      <c r="A71" s="312" t="s">
        <v>11</v>
      </c>
      <c r="B71" s="315">
        <v>675363600</v>
      </c>
      <c r="C71" s="315">
        <v>675363600</v>
      </c>
      <c r="D71" s="315">
        <v>0</v>
      </c>
      <c r="E71" s="315">
        <v>0</v>
      </c>
    </row>
    <row r="72" spans="1:5" x14ac:dyDescent="0.25">
      <c r="A72" s="313">
        <v>18</v>
      </c>
      <c r="B72" s="315">
        <v>675363600</v>
      </c>
      <c r="C72" s="315">
        <v>675363600</v>
      </c>
      <c r="D72" s="315">
        <v>0</v>
      </c>
      <c r="E72" s="315">
        <v>0</v>
      </c>
    </row>
    <row r="73" spans="1:5" x14ac:dyDescent="0.25">
      <c r="A73" s="311" t="s">
        <v>225</v>
      </c>
      <c r="B73" s="315">
        <v>458249240</v>
      </c>
      <c r="C73" s="315">
        <v>458249240</v>
      </c>
      <c r="D73" s="315">
        <v>0</v>
      </c>
      <c r="E73" s="315">
        <v>0</v>
      </c>
    </row>
    <row r="74" spans="1:5" x14ac:dyDescent="0.25">
      <c r="A74" s="312" t="s">
        <v>65</v>
      </c>
      <c r="B74" s="315">
        <v>458249240</v>
      </c>
      <c r="C74" s="315">
        <v>458249240</v>
      </c>
      <c r="D74" s="315">
        <v>0</v>
      </c>
      <c r="E74" s="315">
        <v>0</v>
      </c>
    </row>
    <row r="75" spans="1:5" x14ac:dyDescent="0.25">
      <c r="A75" s="313">
        <v>16</v>
      </c>
      <c r="B75" s="315">
        <v>458249240</v>
      </c>
      <c r="C75" s="315">
        <v>458249240</v>
      </c>
      <c r="D75" s="315">
        <v>0</v>
      </c>
      <c r="E75" s="315">
        <v>0</v>
      </c>
    </row>
    <row r="76" spans="1:5" x14ac:dyDescent="0.25">
      <c r="A76" s="311" t="s">
        <v>269</v>
      </c>
      <c r="B76" s="315">
        <v>0</v>
      </c>
      <c r="C76" s="315">
        <v>0</v>
      </c>
      <c r="D76" s="315">
        <v>0</v>
      </c>
      <c r="E76" s="315">
        <v>0</v>
      </c>
    </row>
    <row r="77" spans="1:5" x14ac:dyDescent="0.25">
      <c r="A77" s="312" t="s">
        <v>65</v>
      </c>
      <c r="B77" s="315">
        <v>0</v>
      </c>
      <c r="C77" s="315"/>
      <c r="D77" s="315"/>
      <c r="E77" s="315">
        <v>0</v>
      </c>
    </row>
    <row r="78" spans="1:5" x14ac:dyDescent="0.25">
      <c r="A78" s="313" t="s">
        <v>269</v>
      </c>
      <c r="B78" s="315">
        <v>0</v>
      </c>
      <c r="C78" s="315"/>
      <c r="D78" s="315"/>
      <c r="E78" s="315">
        <v>0</v>
      </c>
    </row>
    <row r="79" spans="1:5" x14ac:dyDescent="0.25">
      <c r="A79" s="312" t="s">
        <v>269</v>
      </c>
      <c r="B79" s="315">
        <v>0</v>
      </c>
      <c r="C79" s="315">
        <v>0</v>
      </c>
      <c r="D79" s="315">
        <v>0</v>
      </c>
      <c r="E79" s="315">
        <v>0</v>
      </c>
    </row>
    <row r="80" spans="1:5" x14ac:dyDescent="0.25">
      <c r="A80" s="313">
        <v>4</v>
      </c>
      <c r="B80" s="315">
        <v>0</v>
      </c>
      <c r="C80" s="315">
        <v>0</v>
      </c>
      <c r="D80" s="315">
        <v>0</v>
      </c>
      <c r="E80" s="315"/>
    </row>
    <row r="81" spans="1:5" x14ac:dyDescent="0.25">
      <c r="A81" s="313" t="s">
        <v>269</v>
      </c>
      <c r="B81" s="315"/>
      <c r="C81" s="315"/>
      <c r="D81" s="315"/>
      <c r="E81" s="315">
        <v>0</v>
      </c>
    </row>
    <row r="82" spans="1:5" x14ac:dyDescent="0.25">
      <c r="A82" s="311" t="s">
        <v>270</v>
      </c>
      <c r="B82" s="315">
        <v>43195032497.40741</v>
      </c>
      <c r="C82" s="315">
        <v>42581491740.40741</v>
      </c>
      <c r="D82" s="315">
        <v>652573481.88888848</v>
      </c>
      <c r="E82" s="315">
        <v>11974236850.407408</v>
      </c>
    </row>
    <row r="83" spans="1:5" x14ac:dyDescent="0.25">
      <c r="B83"/>
      <c r="C83"/>
      <c r="D83"/>
      <c r="E83"/>
    </row>
    <row r="84" spans="1:5" x14ac:dyDescent="0.25">
      <c r="B84"/>
      <c r="C84"/>
      <c r="D84"/>
      <c r="E84"/>
    </row>
    <row r="85" spans="1:5" x14ac:dyDescent="0.25">
      <c r="B85"/>
      <c r="C85"/>
      <c r="D85"/>
      <c r="E85"/>
    </row>
    <row r="86" spans="1:5" x14ac:dyDescent="0.25">
      <c r="B86"/>
      <c r="C86"/>
      <c r="D86"/>
      <c r="E86"/>
    </row>
    <row r="87" spans="1:5" x14ac:dyDescent="0.25">
      <c r="B87"/>
      <c r="C87"/>
      <c r="D87"/>
      <c r="E87"/>
    </row>
    <row r="88" spans="1:5" x14ac:dyDescent="0.25">
      <c r="B88"/>
      <c r="C88"/>
      <c r="D88"/>
      <c r="E88"/>
    </row>
    <row r="89" spans="1:5" x14ac:dyDescent="0.25">
      <c r="B89"/>
      <c r="C89"/>
      <c r="D89"/>
      <c r="E89"/>
    </row>
    <row r="90" spans="1:5" x14ac:dyDescent="0.25">
      <c r="B90"/>
      <c r="C90"/>
      <c r="D90"/>
      <c r="E90"/>
    </row>
    <row r="91" spans="1:5" x14ac:dyDescent="0.25">
      <c r="B91"/>
      <c r="C91"/>
      <c r="D91"/>
      <c r="E91"/>
    </row>
    <row r="92" spans="1:5" x14ac:dyDescent="0.25">
      <c r="B92"/>
      <c r="C92"/>
      <c r="D92"/>
      <c r="E92"/>
    </row>
    <row r="93" spans="1:5" x14ac:dyDescent="0.25">
      <c r="B93"/>
      <c r="C93"/>
      <c r="D93"/>
      <c r="E93"/>
    </row>
    <row r="94" spans="1:5" x14ac:dyDescent="0.25">
      <c r="B94"/>
      <c r="C94"/>
      <c r="D94"/>
      <c r="E94"/>
    </row>
    <row r="95" spans="1:5" x14ac:dyDescent="0.25">
      <c r="B95"/>
      <c r="C95"/>
      <c r="D95"/>
      <c r="E95"/>
    </row>
    <row r="96" spans="1:5" x14ac:dyDescent="0.25">
      <c r="B96"/>
      <c r="C96"/>
      <c r="D96"/>
      <c r="E96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7EF4-D536-4985-95A9-A35FF3B1C4F3}">
  <dimension ref="A1:AZ82"/>
  <sheetViews>
    <sheetView tabSelected="1" topLeftCell="Y1" zoomScale="85" zoomScaleNormal="85" workbookViewId="0">
      <pane ySplit="3" topLeftCell="A4" activePane="bottomLeft" state="frozen"/>
      <selection pane="bottomLeft" activeCell="AI7" sqref="AI7"/>
    </sheetView>
  </sheetViews>
  <sheetFormatPr defaultColWidth="9.140625" defaultRowHeight="15" outlineLevelCol="1" x14ac:dyDescent="0.25"/>
  <cols>
    <col min="1" max="1" width="9.140625" style="1"/>
    <col min="2" max="2" width="10.140625" style="1" customWidth="1"/>
    <col min="3" max="3" width="10.28515625" style="1" customWidth="1"/>
    <col min="4" max="4" width="11.5703125" style="1" customWidth="1"/>
    <col min="5" max="5" width="9" style="6" customWidth="1"/>
    <col min="6" max="6" width="12.28515625" style="1" customWidth="1"/>
    <col min="7" max="7" width="10.42578125" style="1" customWidth="1"/>
    <col min="8" max="8" width="11.85546875" style="1" customWidth="1"/>
    <col min="9" max="9" width="12" style="1" customWidth="1"/>
    <col min="10" max="10" width="12.28515625" style="1" customWidth="1"/>
    <col min="11" max="11" width="15.7109375" style="1" customWidth="1"/>
    <col min="12" max="12" width="6.140625" style="5" customWidth="1"/>
    <col min="13" max="13" width="19.7109375" style="1" customWidth="1"/>
    <col min="14" max="14" width="13.28515625" style="1" customWidth="1" outlineLevel="1"/>
    <col min="15" max="15" width="18.7109375" style="1" customWidth="1" outlineLevel="1"/>
    <col min="16" max="16" width="16" style="1" customWidth="1" outlineLevel="1"/>
    <col min="17" max="17" width="14" style="1" customWidth="1" outlineLevel="1"/>
    <col min="18" max="19" width="15.7109375" style="1" customWidth="1" outlineLevel="1"/>
    <col min="20" max="20" width="15" style="1" customWidth="1" outlineLevel="1"/>
    <col min="21" max="21" width="23.5703125" style="1" customWidth="1" outlineLevel="1"/>
    <col min="22" max="22" width="15.7109375" style="1" customWidth="1"/>
    <col min="23" max="24" width="15.7109375" style="324" customWidth="1"/>
    <col min="25" max="31" width="15.7109375" style="1" customWidth="1"/>
    <col min="32" max="32" width="15.7109375" style="5" customWidth="1"/>
    <col min="33" max="45" width="15.7109375" style="1" customWidth="1"/>
    <col min="46" max="46" width="20" style="1" customWidth="1"/>
    <col min="47" max="47" width="9.7109375" style="1" customWidth="1"/>
    <col min="48" max="48" width="13" style="1" customWidth="1"/>
    <col min="49" max="49" width="10.28515625" style="1" bestFit="1" customWidth="1"/>
    <col min="50" max="51" width="11.5703125" style="1" bestFit="1" customWidth="1"/>
    <col min="52" max="52" width="10.5703125" style="1" bestFit="1" customWidth="1"/>
    <col min="53" max="16384" width="9.140625" style="1"/>
  </cols>
  <sheetData>
    <row r="1" spans="1:52" ht="22.5" x14ac:dyDescent="0.3">
      <c r="B1" s="328" t="s">
        <v>68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1" t="str">
        <f>+IF($V1="Cty Việt Anh",$K1, "")</f>
        <v/>
      </c>
      <c r="AT1" s="1" t="str">
        <f>+IF($V1="Cty Thành Công",$K1, "")</f>
        <v/>
      </c>
      <c r="AU1" s="1" t="str">
        <f>+IF($V1="Cty Sông Hậu",$K1, "")</f>
        <v/>
      </c>
      <c r="AV1" s="1" t="str">
        <f>+IF($V1="Cty Hằng Phát",$K1, "")</f>
        <v/>
      </c>
    </row>
    <row r="2" spans="1:52" ht="22.5" x14ac:dyDescent="0.3">
      <c r="A2" s="2"/>
      <c r="B2" s="325" t="s">
        <v>58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7"/>
      <c r="W2" s="305"/>
      <c r="X2" s="305"/>
      <c r="Y2" s="305"/>
      <c r="Z2" s="305"/>
      <c r="AA2" s="305"/>
      <c r="AB2" s="305"/>
      <c r="AC2" s="325" t="s">
        <v>59</v>
      </c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  <c r="AO2" s="326"/>
      <c r="AP2" s="326"/>
      <c r="AQ2" s="326"/>
      <c r="AR2" s="326"/>
      <c r="AS2" s="327"/>
      <c r="AT2" s="1" t="str">
        <f>+IF($V2="Cty Thành Công",$K2, "")</f>
        <v/>
      </c>
      <c r="AU2" s="1" t="str">
        <f>+IF($V2="Cty Sông Hậu",$K2, "")</f>
        <v/>
      </c>
      <c r="AV2" s="1" t="str">
        <f>+IF($V2="Cty Hằng Phát",$K2, "")</f>
        <v/>
      </c>
    </row>
    <row r="3" spans="1:52" s="10" customFormat="1" ht="43.5" thickBot="1" x14ac:dyDescent="0.3">
      <c r="A3" s="306" t="s">
        <v>160</v>
      </c>
      <c r="B3" s="307" t="s">
        <v>3</v>
      </c>
      <c r="C3" s="307" t="s">
        <v>61</v>
      </c>
      <c r="D3" s="307" t="s">
        <v>4</v>
      </c>
      <c r="E3" s="307" t="s">
        <v>13</v>
      </c>
      <c r="F3" s="308" t="s">
        <v>5</v>
      </c>
      <c r="G3" s="307" t="s">
        <v>42</v>
      </c>
      <c r="H3" s="308" t="s">
        <v>6</v>
      </c>
      <c r="I3" s="307" t="s">
        <v>7</v>
      </c>
      <c r="J3" s="307" t="s">
        <v>161</v>
      </c>
      <c r="K3" s="308" t="s">
        <v>8</v>
      </c>
      <c r="L3" s="309" t="s">
        <v>12</v>
      </c>
      <c r="M3" s="307" t="s">
        <v>43</v>
      </c>
      <c r="N3" s="308" t="s">
        <v>10</v>
      </c>
      <c r="O3" s="307" t="s">
        <v>162</v>
      </c>
      <c r="P3" s="308" t="s">
        <v>163</v>
      </c>
      <c r="Q3" s="308" t="s">
        <v>32</v>
      </c>
      <c r="R3" s="308" t="s">
        <v>18</v>
      </c>
      <c r="S3" s="307" t="s">
        <v>23</v>
      </c>
      <c r="T3" s="307" t="s">
        <v>21</v>
      </c>
      <c r="U3" s="307" t="s">
        <v>20</v>
      </c>
      <c r="V3" s="308" t="s">
        <v>9</v>
      </c>
      <c r="W3" s="308" t="s">
        <v>272</v>
      </c>
      <c r="X3" s="307" t="s">
        <v>273</v>
      </c>
      <c r="Y3" s="308" t="s">
        <v>274</v>
      </c>
      <c r="Z3" s="307" t="s">
        <v>275</v>
      </c>
      <c r="AA3" s="307"/>
      <c r="AB3" s="308"/>
      <c r="AC3" s="67" t="s">
        <v>44</v>
      </c>
      <c r="AD3" s="67" t="s">
        <v>45</v>
      </c>
      <c r="AE3" s="67" t="s">
        <v>46</v>
      </c>
      <c r="AF3" s="67" t="s">
        <v>47</v>
      </c>
      <c r="AG3" s="67" t="s">
        <v>48</v>
      </c>
      <c r="AH3" s="67" t="s">
        <v>49</v>
      </c>
      <c r="AI3" s="67" t="s">
        <v>64</v>
      </c>
      <c r="AJ3" s="67" t="s">
        <v>52</v>
      </c>
      <c r="AK3" s="67" t="s">
        <v>50</v>
      </c>
      <c r="AL3" s="67" t="s">
        <v>51</v>
      </c>
      <c r="AM3" s="67" t="s">
        <v>53</v>
      </c>
      <c r="AN3" s="67" t="s">
        <v>56</v>
      </c>
      <c r="AO3" s="67" t="s">
        <v>57</v>
      </c>
      <c r="AP3" s="67" t="s">
        <v>54</v>
      </c>
      <c r="AQ3" s="79" t="s">
        <v>164</v>
      </c>
      <c r="AR3" s="67" t="s">
        <v>165</v>
      </c>
      <c r="AS3" s="70" t="s">
        <v>60</v>
      </c>
      <c r="AT3" s="10" t="str">
        <f>+IF($V3="Cty Thành Công",$K3, "")</f>
        <v/>
      </c>
      <c r="AU3" s="10" t="s">
        <v>218</v>
      </c>
      <c r="AV3" s="278" t="s">
        <v>249</v>
      </c>
    </row>
    <row r="4" spans="1:52" ht="19.5" customHeight="1" thickTop="1" x14ac:dyDescent="0.25">
      <c r="A4" s="71"/>
      <c r="B4" s="72"/>
      <c r="C4" s="72"/>
      <c r="D4" s="72"/>
      <c r="E4" s="73"/>
      <c r="F4" s="72"/>
      <c r="G4" s="73"/>
      <c r="H4" s="72"/>
      <c r="I4" s="73">
        <v>1</v>
      </c>
      <c r="J4" s="74">
        <v>2</v>
      </c>
      <c r="K4" s="72" t="s">
        <v>22</v>
      </c>
      <c r="L4" s="75">
        <v>4</v>
      </c>
      <c r="M4" s="73"/>
      <c r="N4" s="72">
        <v>5</v>
      </c>
      <c r="O4" s="73">
        <v>6</v>
      </c>
      <c r="P4" s="72" t="s">
        <v>25</v>
      </c>
      <c r="Q4" s="72" t="s">
        <v>34</v>
      </c>
      <c r="R4" s="72" t="s">
        <v>26</v>
      </c>
      <c r="S4" s="72" t="s">
        <v>27</v>
      </c>
      <c r="T4" s="73" t="s">
        <v>33</v>
      </c>
      <c r="U4" s="73" t="s">
        <v>28</v>
      </c>
      <c r="V4" s="72"/>
      <c r="W4" s="319"/>
      <c r="X4" s="319"/>
      <c r="Y4" s="319"/>
      <c r="Z4" s="316"/>
      <c r="AA4" s="316"/>
      <c r="AB4" s="72"/>
      <c r="AC4" s="71"/>
      <c r="AD4" s="71"/>
      <c r="AE4" s="71"/>
      <c r="AF4" s="76"/>
      <c r="AG4" s="71"/>
      <c r="AH4" s="71" t="str">
        <f>+IF(U4="Cty Ngọc Anh",J4, "")</f>
        <v/>
      </c>
      <c r="AI4" s="71" t="str">
        <f>+IF(V4="Cty Ngọc Anh",K4, "")</f>
        <v/>
      </c>
      <c r="AJ4" s="71"/>
      <c r="AK4" s="71" t="str">
        <f>+IF($V4="Cty Hoàng Quyên",$K4, "")</f>
        <v/>
      </c>
      <c r="AL4" s="71" t="str">
        <f>+IF($V4="Cty Hoàng Long",$K4, "")</f>
        <v/>
      </c>
      <c r="AM4" s="71" t="str">
        <f>+IF($V4="Cty An Hưng",$K4, "")</f>
        <v/>
      </c>
      <c r="AN4" s="71" t="str">
        <f>+IF($V4="Cty An Hưng",$K4, "")</f>
        <v/>
      </c>
      <c r="AO4" s="71" t="str">
        <f>+IF($V4="Cty An Hưng",$K4, "")</f>
        <v/>
      </c>
      <c r="AP4" s="71" t="str">
        <f>+IF($V4="Cty Thành Năm",$K4, "")</f>
        <v/>
      </c>
      <c r="AQ4" s="71" t="str">
        <f>+IF($V4="Cty Tân Hoàng Đạt",$K4, "")</f>
        <v/>
      </c>
      <c r="AR4" s="71" t="str">
        <f>+IF($V4="Cty Thái Bình Dương",$K4, "")</f>
        <v/>
      </c>
      <c r="AS4" s="77" t="str">
        <f>+IF($V4="Cty Việt Anh",$K4, "")</f>
        <v/>
      </c>
      <c r="AT4" s="1" t="str">
        <f>+IF($V4="Cty Thành Công",$K4, "")</f>
        <v/>
      </c>
      <c r="AU4" s="13"/>
      <c r="AV4" s="13"/>
      <c r="AW4" s="12"/>
      <c r="AX4" s="11"/>
      <c r="AY4" s="11"/>
      <c r="AZ4" s="11"/>
    </row>
    <row r="5" spans="1:52" s="87" customFormat="1" ht="24.95" customHeight="1" x14ac:dyDescent="0.25">
      <c r="A5" s="88">
        <v>12026</v>
      </c>
      <c r="B5" s="89" t="s">
        <v>2</v>
      </c>
      <c r="C5" s="88" t="s">
        <v>98</v>
      </c>
      <c r="D5" s="88" t="s">
        <v>37</v>
      </c>
      <c r="E5" s="280">
        <v>46018</v>
      </c>
      <c r="F5" s="90" t="s">
        <v>36</v>
      </c>
      <c r="G5" s="280">
        <v>46024</v>
      </c>
      <c r="H5" s="88" t="s">
        <v>39</v>
      </c>
      <c r="I5" s="90">
        <v>3922.05</v>
      </c>
      <c r="J5" s="91">
        <v>125000</v>
      </c>
      <c r="K5" s="92">
        <f t="shared" ref="K5:K6" si="0">I5*J5</f>
        <v>490256250</v>
      </c>
      <c r="L5" s="93">
        <v>2</v>
      </c>
      <c r="M5" s="268" t="s">
        <v>198</v>
      </c>
      <c r="N5" s="95">
        <v>13000</v>
      </c>
      <c r="O5" s="81">
        <f t="shared" ref="O5" si="1">+(J5+N5)/1.08</f>
        <v>127777.77777777777</v>
      </c>
      <c r="P5" s="82">
        <f t="shared" ref="P5" si="2">I5*O5</f>
        <v>501150833.33333331</v>
      </c>
      <c r="Q5" s="82">
        <f t="shared" ref="Q5" si="3">P5*0.08</f>
        <v>40092066.666666664</v>
      </c>
      <c r="R5" s="83">
        <f t="shared" ref="R5" si="4">(+P5+Q5)</f>
        <v>541242900</v>
      </c>
      <c r="S5" s="78">
        <f t="shared" ref="S5" si="5">R5-K5</f>
        <v>50986650</v>
      </c>
      <c r="T5" s="78">
        <f>S5/1.08*28%</f>
        <v>13218761.11111111</v>
      </c>
      <c r="U5" s="78">
        <f t="shared" ref="U5" si="6">S5-T5</f>
        <v>37767888.888888888</v>
      </c>
      <c r="V5" s="84" t="s">
        <v>63</v>
      </c>
      <c r="W5" s="83">
        <f>+Table2[[#This Row],[Thành tiền]]+Table2[[#This Row],[Chênh lệch
sau thuế]]-SUM(X5:Z5)</f>
        <v>0</v>
      </c>
      <c r="X5" s="83">
        <v>541242900</v>
      </c>
      <c r="Y5" s="318"/>
      <c r="Z5" s="83"/>
      <c r="AA5" s="83"/>
      <c r="AB5" s="84"/>
      <c r="AC5" s="80">
        <v>9312140</v>
      </c>
      <c r="AD5" s="95"/>
      <c r="AE5" s="78">
        <v>2500000</v>
      </c>
      <c r="AF5" s="91">
        <v>15699000</v>
      </c>
      <c r="AG5" s="88"/>
      <c r="AH5" s="88"/>
      <c r="AI5" s="88"/>
      <c r="AJ5" s="95">
        <v>11137000</v>
      </c>
      <c r="AK5" s="95">
        <v>310565000</v>
      </c>
      <c r="AL5" s="95"/>
      <c r="AM5" s="96">
        <v>223811168</v>
      </c>
      <c r="AN5" s="80">
        <f t="shared" ref="AN5:AN14" si="7">+K5*0.08</f>
        <v>39220500</v>
      </c>
      <c r="AO5" s="85">
        <v>10069583</v>
      </c>
      <c r="AP5" s="96">
        <v>46980000</v>
      </c>
      <c r="AQ5" s="96">
        <v>14888000</v>
      </c>
      <c r="AR5" s="96">
        <v>4706000</v>
      </c>
      <c r="AS5" s="97"/>
      <c r="AT5" s="86">
        <f t="shared" ref="AT5:AT18" si="8">+SUM(AC5:AS5)</f>
        <v>688888391</v>
      </c>
      <c r="AU5" s="116">
        <f t="shared" ref="AU5:AU13" si="9">+G5-E5</f>
        <v>6</v>
      </c>
      <c r="AV5" s="87">
        <v>105</v>
      </c>
    </row>
    <row r="6" spans="1:52" s="87" customFormat="1" ht="24.95" customHeight="1" x14ac:dyDescent="0.25">
      <c r="A6" s="88">
        <v>12026</v>
      </c>
      <c r="B6" s="89" t="s">
        <v>2</v>
      </c>
      <c r="C6" s="88" t="s">
        <v>158</v>
      </c>
      <c r="D6" s="88" t="s">
        <v>31</v>
      </c>
      <c r="E6" s="279">
        <f t="shared" ref="E6:E11" si="10">+G5+1</f>
        <v>46025</v>
      </c>
      <c r="F6" s="88" t="s">
        <v>14</v>
      </c>
      <c r="G6" s="280">
        <v>46035</v>
      </c>
      <c r="H6" s="90" t="s">
        <v>35</v>
      </c>
      <c r="I6" s="90">
        <v>3987.95</v>
      </c>
      <c r="J6" s="91">
        <v>160000</v>
      </c>
      <c r="K6" s="92">
        <f t="shared" si="0"/>
        <v>638072000</v>
      </c>
      <c r="L6" s="93">
        <v>4</v>
      </c>
      <c r="M6" s="94" t="s">
        <v>206</v>
      </c>
      <c r="N6" s="95">
        <v>0</v>
      </c>
      <c r="O6" s="81">
        <f t="shared" ref="O6" si="11">+(J6+N6)/1.08</f>
        <v>148148.14814814815</v>
      </c>
      <c r="P6" s="82">
        <f t="shared" ref="P6" si="12">I6*O6</f>
        <v>590807407.4074074</v>
      </c>
      <c r="Q6" s="82">
        <f t="shared" ref="Q6" si="13">P6*0.08</f>
        <v>47264592.59259259</v>
      </c>
      <c r="R6" s="83">
        <f t="shared" ref="R6" si="14">(+P6+Q6)</f>
        <v>638072000</v>
      </c>
      <c r="S6" s="78">
        <f t="shared" ref="S6" si="15">R6-K6</f>
        <v>0</v>
      </c>
      <c r="T6" s="78">
        <f t="shared" ref="T6:T16" si="16">S6/1.08*28%</f>
        <v>0</v>
      </c>
      <c r="U6" s="78">
        <f t="shared" ref="U6" si="17">S6-T6</f>
        <v>0</v>
      </c>
      <c r="V6" s="84" t="s">
        <v>215</v>
      </c>
      <c r="W6" s="83">
        <f>+Table2[[#This Row],[Tổng cộng]]-SUM(X6:Z6)</f>
        <v>0</v>
      </c>
      <c r="X6" s="83">
        <v>638072000</v>
      </c>
      <c r="Y6" s="318"/>
      <c r="Z6" s="83"/>
      <c r="AA6" s="83"/>
      <c r="AB6" s="84"/>
      <c r="AC6" s="80"/>
      <c r="AD6" s="288">
        <v>8893400</v>
      </c>
      <c r="AE6" s="78">
        <v>17406000</v>
      </c>
      <c r="AF6" s="91">
        <v>2000000</v>
      </c>
      <c r="AG6" s="88"/>
      <c r="AH6" s="88"/>
      <c r="AI6" s="88">
        <f>300000*1.5*11*2</f>
        <v>9900000</v>
      </c>
      <c r="AJ6" s="95">
        <v>7425000</v>
      </c>
      <c r="AK6" s="95">
        <v>393915500</v>
      </c>
      <c r="AL6" s="95"/>
      <c r="AM6" s="96">
        <v>15712000</v>
      </c>
      <c r="AN6" s="80">
        <f t="shared" si="7"/>
        <v>51045760</v>
      </c>
      <c r="AO6" s="96"/>
      <c r="AP6" s="96"/>
      <c r="AQ6" s="96"/>
      <c r="AR6" s="96"/>
      <c r="AS6" s="97"/>
      <c r="AT6" s="86">
        <f t="shared" si="8"/>
        <v>506297660</v>
      </c>
      <c r="AU6" s="116">
        <f t="shared" si="9"/>
        <v>10</v>
      </c>
      <c r="AV6" s="87">
        <v>87</v>
      </c>
    </row>
    <row r="7" spans="1:52" s="87" customFormat="1" ht="24.95" customHeight="1" x14ac:dyDescent="0.25">
      <c r="A7" s="88">
        <v>12026</v>
      </c>
      <c r="B7" s="89" t="s">
        <v>2</v>
      </c>
      <c r="C7" s="88" t="s">
        <v>177</v>
      </c>
      <c r="D7" s="88" t="s">
        <v>37</v>
      </c>
      <c r="E7" s="279">
        <f t="shared" si="10"/>
        <v>46036</v>
      </c>
      <c r="F7" s="90" t="s">
        <v>36</v>
      </c>
      <c r="G7" s="280">
        <v>46046</v>
      </c>
      <c r="H7" s="88" t="s">
        <v>39</v>
      </c>
      <c r="I7" s="90">
        <v>3975.02</v>
      </c>
      <c r="J7" s="91">
        <v>120000</v>
      </c>
      <c r="K7" s="92">
        <f t="shared" ref="K7:K11" si="18">I7*J7</f>
        <v>477002400</v>
      </c>
      <c r="L7" s="93">
        <v>11</v>
      </c>
      <c r="M7" s="94" t="s">
        <v>216</v>
      </c>
      <c r="N7" s="95">
        <v>4824.2776136975408</v>
      </c>
      <c r="O7" s="81">
        <f t="shared" ref="O7:O8" si="19">+(J7+N7)/1.08</f>
        <v>115578.03482749772</v>
      </c>
      <c r="P7" s="82">
        <f t="shared" ref="P7:P8" si="20">I7*O7</f>
        <v>459424999.99999994</v>
      </c>
      <c r="Q7" s="82">
        <f t="shared" ref="Q7:Q8" si="21">P7*0.08</f>
        <v>36753999.999999993</v>
      </c>
      <c r="R7" s="83">
        <f t="shared" ref="R7:R8" si="22">(+P7+Q7)</f>
        <v>496178999.99999994</v>
      </c>
      <c r="S7" s="78">
        <f t="shared" ref="S7:S8" si="23">R7-K7</f>
        <v>19176599.99999994</v>
      </c>
      <c r="T7" s="78">
        <f t="shared" si="16"/>
        <v>4971711.1111110961</v>
      </c>
      <c r="U7" s="78">
        <f t="shared" ref="U7:U8" si="24">S7-T7</f>
        <v>14204888.888888843</v>
      </c>
      <c r="V7" s="84" t="s">
        <v>63</v>
      </c>
      <c r="W7" s="83">
        <f>+Table2[[#This Row],[Tổng cộng]]-SUM(X7:Z7)</f>
        <v>0</v>
      </c>
      <c r="X7" s="83">
        <v>496178999.99999994</v>
      </c>
      <c r="Y7" s="318"/>
      <c r="Z7" s="83"/>
      <c r="AA7" s="83"/>
      <c r="AB7" s="84"/>
      <c r="AC7" s="288">
        <v>9531480</v>
      </c>
      <c r="AD7" s="95"/>
      <c r="AE7" s="78">
        <v>2500000</v>
      </c>
      <c r="AF7" s="91">
        <v>14248000</v>
      </c>
      <c r="AG7" s="88"/>
      <c r="AH7" s="88"/>
      <c r="AI7" s="88"/>
      <c r="AJ7" s="95">
        <v>11137000</v>
      </c>
      <c r="AK7" s="95"/>
      <c r="AL7" s="95"/>
      <c r="AM7" s="96"/>
      <c r="AN7" s="80">
        <f t="shared" si="7"/>
        <v>38160192</v>
      </c>
      <c r="AO7" s="96"/>
      <c r="AP7" s="96"/>
      <c r="AQ7" s="96"/>
      <c r="AR7" s="96"/>
      <c r="AS7" s="97"/>
      <c r="AT7" s="86">
        <f t="shared" si="8"/>
        <v>75576672</v>
      </c>
      <c r="AU7" s="116">
        <f t="shared" si="9"/>
        <v>10</v>
      </c>
      <c r="AV7" s="87">
        <v>127</v>
      </c>
    </row>
    <row r="8" spans="1:52" s="87" customFormat="1" ht="24.95" customHeight="1" x14ac:dyDescent="0.25">
      <c r="A8" s="88">
        <v>12026</v>
      </c>
      <c r="B8" s="99" t="s">
        <v>2</v>
      </c>
      <c r="C8" s="98" t="s">
        <v>178</v>
      </c>
      <c r="D8" s="98" t="s">
        <v>17</v>
      </c>
      <c r="E8" s="279">
        <f t="shared" si="10"/>
        <v>46047</v>
      </c>
      <c r="F8" s="100" t="s">
        <v>24</v>
      </c>
      <c r="G8" s="291">
        <v>46054</v>
      </c>
      <c r="H8" s="98" t="s">
        <v>40</v>
      </c>
      <c r="I8" s="90">
        <v>4008</v>
      </c>
      <c r="J8" s="102">
        <v>223000</v>
      </c>
      <c r="K8" s="103">
        <f t="shared" si="18"/>
        <v>893784000</v>
      </c>
      <c r="L8" s="104">
        <v>14</v>
      </c>
      <c r="M8" s="105"/>
      <c r="N8" s="106">
        <v>8000</v>
      </c>
      <c r="O8" s="110">
        <f t="shared" si="19"/>
        <v>213888.88888888888</v>
      </c>
      <c r="P8" s="111">
        <f t="shared" si="20"/>
        <v>857266666.66666663</v>
      </c>
      <c r="Q8" s="111">
        <f t="shared" si="21"/>
        <v>68581333.333333328</v>
      </c>
      <c r="R8" s="112">
        <f t="shared" si="22"/>
        <v>925848000</v>
      </c>
      <c r="S8" s="106">
        <f t="shared" si="23"/>
        <v>32064000</v>
      </c>
      <c r="T8" s="106">
        <f t="shared" si="16"/>
        <v>8312888.888888889</v>
      </c>
      <c r="U8" s="106">
        <f t="shared" si="24"/>
        <v>23751111.111111112</v>
      </c>
      <c r="V8" s="84" t="s">
        <v>62</v>
      </c>
      <c r="W8" s="83">
        <f>+Table2[[#This Row],[Tổng cộng]]-SUM(X8:Z8)</f>
        <v>0</v>
      </c>
      <c r="X8" s="83">
        <v>925848000</v>
      </c>
      <c r="Y8" s="318"/>
      <c r="Z8" s="83"/>
      <c r="AA8" s="83"/>
      <c r="AB8" s="84"/>
      <c r="AC8" s="288">
        <v>41658617</v>
      </c>
      <c r="AD8" s="95">
        <v>9820610</v>
      </c>
      <c r="AE8" s="78">
        <v>2800000</v>
      </c>
      <c r="AF8" s="102">
        <v>3100000</v>
      </c>
      <c r="AG8" s="98"/>
      <c r="AH8" s="98"/>
      <c r="AI8" s="98"/>
      <c r="AJ8" s="95">
        <v>7425000</v>
      </c>
      <c r="AK8" s="98"/>
      <c r="AL8" s="98" t="str">
        <f>+IF($V8="Cty Hoàng Long",$K8, "")</f>
        <v/>
      </c>
      <c r="AM8" s="107"/>
      <c r="AN8" s="80">
        <f t="shared" si="7"/>
        <v>71502720</v>
      </c>
      <c r="AO8" s="107"/>
      <c r="AP8" s="107"/>
      <c r="AQ8" s="107"/>
      <c r="AR8" s="107"/>
      <c r="AS8" s="108" t="str">
        <f t="shared" ref="AS8:AS9" si="25">+IF($V8="Cty Việt Anh",$K8, "")</f>
        <v/>
      </c>
      <c r="AT8" s="86">
        <f t="shared" si="8"/>
        <v>136306947</v>
      </c>
      <c r="AU8" s="116">
        <f t="shared" si="9"/>
        <v>7</v>
      </c>
      <c r="AV8" s="87">
        <v>125</v>
      </c>
    </row>
    <row r="9" spans="1:52" s="87" customFormat="1" ht="24.95" customHeight="1" x14ac:dyDescent="0.25">
      <c r="A9" s="88">
        <v>22026</v>
      </c>
      <c r="B9" s="99" t="s">
        <v>2</v>
      </c>
      <c r="C9" s="98" t="s">
        <v>222</v>
      </c>
      <c r="D9" s="98" t="s">
        <v>37</v>
      </c>
      <c r="E9" s="279">
        <f t="shared" si="10"/>
        <v>46055</v>
      </c>
      <c r="F9" s="100" t="s">
        <v>40</v>
      </c>
      <c r="G9" s="291">
        <v>46066</v>
      </c>
      <c r="H9" s="98" t="s">
        <v>39</v>
      </c>
      <c r="I9" s="90">
        <v>3960.99</v>
      </c>
      <c r="J9" s="102">
        <v>120000</v>
      </c>
      <c r="K9" s="103">
        <f t="shared" si="18"/>
        <v>475318800</v>
      </c>
      <c r="L9" s="104">
        <v>20</v>
      </c>
      <c r="M9" s="105"/>
      <c r="N9" s="106">
        <v>15000</v>
      </c>
      <c r="O9" s="110">
        <f t="shared" ref="O9" si="26">+(J9+N9)/1.08</f>
        <v>124999.99999999999</v>
      </c>
      <c r="P9" s="111">
        <f t="shared" ref="P9" si="27">I9*O9</f>
        <v>495123749.99999994</v>
      </c>
      <c r="Q9" s="111">
        <f t="shared" ref="Q9" si="28">P9*0.08</f>
        <v>39609899.999999993</v>
      </c>
      <c r="R9" s="112">
        <f t="shared" ref="R9" si="29">(+P9+Q9)</f>
        <v>534733649.99999994</v>
      </c>
      <c r="S9" s="106">
        <f t="shared" ref="S9" si="30">R9-K9</f>
        <v>59414849.99999994</v>
      </c>
      <c r="T9" s="106">
        <f t="shared" si="16"/>
        <v>15403849.999999985</v>
      </c>
      <c r="U9" s="106">
        <f t="shared" ref="U9" si="31">S9-T9</f>
        <v>44010999.999999955</v>
      </c>
      <c r="V9" s="84" t="s">
        <v>63</v>
      </c>
      <c r="W9" s="83">
        <f>+Table2[[#This Row],[Tổng cộng]]-SUM(X9:Z9)</f>
        <v>0</v>
      </c>
      <c r="X9" s="83">
        <v>534733649.99999994</v>
      </c>
      <c r="Y9" s="318"/>
      <c r="Z9" s="83"/>
      <c r="AA9" s="83"/>
      <c r="AB9" s="84"/>
      <c r="AC9" s="288">
        <f>9122710+33035</f>
        <v>9155745</v>
      </c>
      <c r="AD9" s="106"/>
      <c r="AE9" s="78">
        <v>2500000</v>
      </c>
      <c r="AF9" s="102">
        <v>23647000</v>
      </c>
      <c r="AG9" s="98"/>
      <c r="AH9" s="98"/>
      <c r="AI9" s="98"/>
      <c r="AJ9" s="95">
        <v>11137000</v>
      </c>
      <c r="AK9" s="98"/>
      <c r="AL9" s="98" t="str">
        <f>+IF($V9="Cty Hoàng Long",$K9, "")</f>
        <v/>
      </c>
      <c r="AM9" s="107">
        <v>223811168</v>
      </c>
      <c r="AN9" s="80">
        <f t="shared" si="7"/>
        <v>38025504</v>
      </c>
      <c r="AO9" s="107">
        <v>10069583</v>
      </c>
      <c r="AP9" s="107">
        <v>37710000</v>
      </c>
      <c r="AQ9" s="107">
        <v>41517140</v>
      </c>
      <c r="AR9" s="107">
        <v>5565000</v>
      </c>
      <c r="AS9" s="108" t="str">
        <f t="shared" si="25"/>
        <v/>
      </c>
      <c r="AT9" s="86">
        <f t="shared" si="8"/>
        <v>403138140</v>
      </c>
      <c r="AU9" s="116">
        <f t="shared" si="9"/>
        <v>11</v>
      </c>
      <c r="AV9" s="87" t="str">
        <f>+IF($V9="Cty Hằng Phát",$K9, "")</f>
        <v/>
      </c>
    </row>
    <row r="10" spans="1:52" s="87" customFormat="1" ht="24.95" customHeight="1" x14ac:dyDescent="0.25">
      <c r="A10" s="88">
        <v>22026</v>
      </c>
      <c r="B10" s="99" t="s">
        <v>2</v>
      </c>
      <c r="C10" s="98" t="s">
        <v>232</v>
      </c>
      <c r="D10" s="98" t="s">
        <v>245</v>
      </c>
      <c r="E10" s="279">
        <f t="shared" si="10"/>
        <v>46067</v>
      </c>
      <c r="F10" s="100" t="s">
        <v>15</v>
      </c>
      <c r="G10" s="291">
        <v>46087</v>
      </c>
      <c r="H10" s="98" t="s">
        <v>40</v>
      </c>
      <c r="I10" s="90">
        <v>3999.6</v>
      </c>
      <c r="J10" s="102">
        <v>200000</v>
      </c>
      <c r="K10" s="103">
        <f t="shared" si="18"/>
        <v>799920000</v>
      </c>
      <c r="L10" s="104">
        <v>25</v>
      </c>
      <c r="M10" s="105"/>
      <c r="N10" s="106">
        <v>17000</v>
      </c>
      <c r="O10" s="110">
        <f t="shared" ref="O10:O16" si="32">+(J10+N10)/1.08</f>
        <v>200925.92592592593</v>
      </c>
      <c r="P10" s="111">
        <f t="shared" ref="P10:P16" si="33">I10*O10</f>
        <v>803623333.33333337</v>
      </c>
      <c r="Q10" s="111">
        <f t="shared" ref="Q10:Q16" si="34">P10*0.08</f>
        <v>64289866.666666672</v>
      </c>
      <c r="R10" s="112">
        <f t="shared" ref="R10:R16" si="35">(+P10+Q10)</f>
        <v>867913200</v>
      </c>
      <c r="S10" s="106">
        <f t="shared" ref="S10:S16" si="36">R10-K10</f>
        <v>67993200</v>
      </c>
      <c r="T10" s="106">
        <f t="shared" si="16"/>
        <v>17627866.666666668</v>
      </c>
      <c r="U10" s="106">
        <f t="shared" ref="U10:U16" si="37">S10-T10</f>
        <v>50365333.333333328</v>
      </c>
      <c r="V10" s="113" t="s">
        <v>157</v>
      </c>
      <c r="W10" s="112">
        <f>+Table2[[#This Row],[Tổng cộng]]-SUM(X10:Z10)</f>
        <v>0</v>
      </c>
      <c r="X10" s="112">
        <v>867913200</v>
      </c>
      <c r="Y10" s="288"/>
      <c r="Z10" s="83"/>
      <c r="AA10" s="83"/>
      <c r="AB10" s="113"/>
      <c r="AC10" s="288">
        <v>11682336</v>
      </c>
      <c r="AD10" s="288">
        <v>9451720</v>
      </c>
      <c r="AE10" s="78"/>
      <c r="AF10" s="102"/>
      <c r="AG10" s="98"/>
      <c r="AH10" s="98"/>
      <c r="AI10" s="98"/>
      <c r="AJ10" s="95"/>
      <c r="AK10" s="98"/>
      <c r="AL10" s="98"/>
      <c r="AM10" s="107"/>
      <c r="AN10" s="80">
        <f t="shared" si="7"/>
        <v>63993600</v>
      </c>
      <c r="AO10" s="107"/>
      <c r="AP10" s="107"/>
      <c r="AQ10" s="107"/>
      <c r="AR10" s="107"/>
      <c r="AS10" s="108"/>
      <c r="AT10" s="86">
        <f t="shared" si="8"/>
        <v>85127656</v>
      </c>
      <c r="AU10" s="116">
        <f t="shared" si="9"/>
        <v>20</v>
      </c>
    </row>
    <row r="11" spans="1:52" s="87" customFormat="1" ht="24.95" customHeight="1" x14ac:dyDescent="0.25">
      <c r="A11" s="88">
        <v>32026</v>
      </c>
      <c r="B11" s="99" t="s">
        <v>2</v>
      </c>
      <c r="C11" s="98" t="s">
        <v>246</v>
      </c>
      <c r="D11" s="98" t="s">
        <v>179</v>
      </c>
      <c r="E11" s="279">
        <f t="shared" si="10"/>
        <v>46088</v>
      </c>
      <c r="F11" s="100" t="s">
        <v>36</v>
      </c>
      <c r="G11" s="291">
        <v>46104</v>
      </c>
      <c r="H11" s="98" t="s">
        <v>30</v>
      </c>
      <c r="I11" s="109">
        <v>3998.61</v>
      </c>
      <c r="J11" s="102">
        <v>151000</v>
      </c>
      <c r="K11" s="103">
        <f t="shared" si="18"/>
        <v>603790110</v>
      </c>
      <c r="L11" s="104">
        <v>33</v>
      </c>
      <c r="M11" s="105"/>
      <c r="N11" s="106"/>
      <c r="O11" s="110">
        <f t="shared" si="32"/>
        <v>139814.8148148148</v>
      </c>
      <c r="P11" s="111">
        <f t="shared" si="33"/>
        <v>559064916.66666663</v>
      </c>
      <c r="Q11" s="111">
        <f t="shared" si="34"/>
        <v>44725193.333333328</v>
      </c>
      <c r="R11" s="112">
        <f t="shared" si="35"/>
        <v>603790110</v>
      </c>
      <c r="S11" s="106">
        <f t="shared" si="36"/>
        <v>0</v>
      </c>
      <c r="T11" s="106">
        <f t="shared" si="16"/>
        <v>0</v>
      </c>
      <c r="U11" s="106">
        <f t="shared" si="37"/>
        <v>0</v>
      </c>
      <c r="V11" s="84" t="s">
        <v>62</v>
      </c>
      <c r="W11" s="83">
        <f>+Table2[[#This Row],[Tổng cộng]]-SUM(X11:Z11)</f>
        <v>0</v>
      </c>
      <c r="X11" s="83">
        <v>603790110</v>
      </c>
      <c r="Y11" s="318"/>
      <c r="Z11" s="83"/>
      <c r="AA11" s="83"/>
      <c r="AB11" s="84"/>
      <c r="AC11" s="288">
        <v>9860490</v>
      </c>
      <c r="AD11" s="106">
        <v>8845900</v>
      </c>
      <c r="AE11" s="98"/>
      <c r="AF11" s="102"/>
      <c r="AG11" s="98"/>
      <c r="AH11" s="98"/>
      <c r="AI11" s="98"/>
      <c r="AJ11" s="95"/>
      <c r="AK11" s="98"/>
      <c r="AL11" s="98"/>
      <c r="AM11" s="107"/>
      <c r="AN11" s="98">
        <f t="shared" si="7"/>
        <v>48303208.800000004</v>
      </c>
      <c r="AO11" s="107"/>
      <c r="AP11" s="107"/>
      <c r="AQ11" s="107"/>
      <c r="AR11" s="107"/>
      <c r="AS11" s="108"/>
      <c r="AT11" s="86">
        <f t="shared" si="8"/>
        <v>67009598.800000004</v>
      </c>
      <c r="AU11" s="116">
        <f t="shared" si="9"/>
        <v>16</v>
      </c>
    </row>
    <row r="12" spans="1:52" s="87" customFormat="1" ht="24.95" customHeight="1" x14ac:dyDescent="0.25">
      <c r="A12" s="88">
        <v>32026</v>
      </c>
      <c r="B12" s="99" t="s">
        <v>2</v>
      </c>
      <c r="C12" s="98" t="s">
        <v>250</v>
      </c>
      <c r="D12" s="98" t="s">
        <v>66</v>
      </c>
      <c r="E12" s="279">
        <f t="shared" ref="E12" si="38">+G11+1</f>
        <v>46105</v>
      </c>
      <c r="F12" s="100" t="s">
        <v>85</v>
      </c>
      <c r="G12" s="291">
        <v>46110</v>
      </c>
      <c r="H12" s="98" t="s">
        <v>89</v>
      </c>
      <c r="I12" s="109">
        <v>3849.62</v>
      </c>
      <c r="J12" s="102">
        <v>90000</v>
      </c>
      <c r="K12" s="103">
        <f t="shared" ref="K12:K14" si="39">I12*J12</f>
        <v>346465800</v>
      </c>
      <c r="L12" s="104">
        <v>31</v>
      </c>
      <c r="M12" s="105"/>
      <c r="N12" s="106"/>
      <c r="O12" s="110">
        <f t="shared" si="32"/>
        <v>83333.333333333328</v>
      </c>
      <c r="P12" s="111">
        <f t="shared" si="33"/>
        <v>320801666.66666663</v>
      </c>
      <c r="Q12" s="111">
        <f t="shared" si="34"/>
        <v>25664133.333333332</v>
      </c>
      <c r="R12" s="112">
        <f t="shared" si="35"/>
        <v>346465799.99999994</v>
      </c>
      <c r="S12" s="106">
        <f t="shared" si="36"/>
        <v>0</v>
      </c>
      <c r="T12" s="106">
        <f t="shared" si="16"/>
        <v>0</v>
      </c>
      <c r="U12" s="106">
        <f t="shared" si="37"/>
        <v>0</v>
      </c>
      <c r="V12" s="84" t="s">
        <v>62</v>
      </c>
      <c r="W12" s="83">
        <f>+Table2[[#This Row],[Tổng cộng]]-SUM(X12:Z12)</f>
        <v>0</v>
      </c>
      <c r="X12" s="83">
        <v>346465799.99999994</v>
      </c>
      <c r="Y12" s="318"/>
      <c r="Z12" s="83"/>
      <c r="AA12" s="83"/>
      <c r="AB12" s="84"/>
      <c r="AC12" s="294"/>
      <c r="AD12" s="106"/>
      <c r="AE12" s="98"/>
      <c r="AF12" s="102"/>
      <c r="AG12" s="98"/>
      <c r="AH12" s="98"/>
      <c r="AI12" s="98"/>
      <c r="AJ12" s="95"/>
      <c r="AK12" s="98"/>
      <c r="AL12" s="98"/>
      <c r="AM12" s="107"/>
      <c r="AN12" s="98">
        <f t="shared" si="7"/>
        <v>27717264</v>
      </c>
      <c r="AO12" s="107"/>
      <c r="AP12" s="107"/>
      <c r="AQ12" s="107"/>
      <c r="AR12" s="107"/>
      <c r="AS12" s="108"/>
      <c r="AT12" s="86">
        <f t="shared" ref="AT12:AT13" si="40">+SUM(AC12:AS12)</f>
        <v>27717264</v>
      </c>
      <c r="AU12" s="116">
        <f t="shared" si="9"/>
        <v>5</v>
      </c>
    </row>
    <row r="13" spans="1:52" s="87" customFormat="1" ht="24.95" customHeight="1" x14ac:dyDescent="0.25">
      <c r="A13" s="88">
        <v>42026</v>
      </c>
      <c r="B13" s="99" t="s">
        <v>2</v>
      </c>
      <c r="C13" s="98" t="s">
        <v>258</v>
      </c>
      <c r="D13" s="98" t="s">
        <v>17</v>
      </c>
      <c r="E13" s="279">
        <f>+G12+1</f>
        <v>46111</v>
      </c>
      <c r="F13" s="100" t="s">
        <v>24</v>
      </c>
      <c r="G13" s="291">
        <v>46118</v>
      </c>
      <c r="H13" s="98" t="s">
        <v>40</v>
      </c>
      <c r="I13" s="109">
        <v>3997</v>
      </c>
      <c r="J13" s="102">
        <v>253000</v>
      </c>
      <c r="K13" s="103">
        <f t="shared" si="39"/>
        <v>1011241000</v>
      </c>
      <c r="L13" s="104">
        <v>37</v>
      </c>
      <c r="M13" s="105"/>
      <c r="N13" s="106"/>
      <c r="O13" s="110">
        <f t="shared" si="32"/>
        <v>234259.25925925924</v>
      </c>
      <c r="P13" s="111">
        <f t="shared" si="33"/>
        <v>936334259.25925922</v>
      </c>
      <c r="Q13" s="111">
        <f t="shared" si="34"/>
        <v>74906740.740740746</v>
      </c>
      <c r="R13" s="112">
        <f t="shared" si="35"/>
        <v>1011241000</v>
      </c>
      <c r="S13" s="106">
        <f t="shared" si="36"/>
        <v>0</v>
      </c>
      <c r="T13" s="106">
        <f t="shared" si="16"/>
        <v>0</v>
      </c>
      <c r="U13" s="106">
        <f t="shared" si="37"/>
        <v>0</v>
      </c>
      <c r="V13" s="84" t="s">
        <v>62</v>
      </c>
      <c r="W13" s="83">
        <f>+Table2[[#This Row],[Tổng cộng]]-SUM(X13:Z13)</f>
        <v>0</v>
      </c>
      <c r="X13" s="83">
        <v>1011241000</v>
      </c>
      <c r="Y13" s="318"/>
      <c r="Z13" s="83"/>
      <c r="AA13" s="83"/>
      <c r="AB13" s="84"/>
      <c r="AC13" s="294"/>
      <c r="AD13" s="294">
        <v>10292000</v>
      </c>
      <c r="AE13" s="98"/>
      <c r="AF13" s="102"/>
      <c r="AG13" s="98"/>
      <c r="AH13" s="98"/>
      <c r="AI13" s="98"/>
      <c r="AJ13" s="95"/>
      <c r="AK13" s="98"/>
      <c r="AL13" s="98"/>
      <c r="AM13" s="107"/>
      <c r="AN13" s="98">
        <f t="shared" si="7"/>
        <v>80899280</v>
      </c>
      <c r="AO13" s="107"/>
      <c r="AP13" s="107"/>
      <c r="AQ13" s="107"/>
      <c r="AR13" s="107"/>
      <c r="AS13" s="108"/>
      <c r="AT13" s="86">
        <f t="shared" si="40"/>
        <v>91191280</v>
      </c>
      <c r="AU13" s="116">
        <f t="shared" si="9"/>
        <v>7</v>
      </c>
    </row>
    <row r="14" spans="1:52" s="87" customFormat="1" ht="24.95" customHeight="1" x14ac:dyDescent="0.25">
      <c r="A14" s="88">
        <v>42026</v>
      </c>
      <c r="B14" s="99" t="s">
        <v>2</v>
      </c>
      <c r="C14" s="98" t="s">
        <v>264</v>
      </c>
      <c r="D14" s="98" t="s">
        <v>37</v>
      </c>
      <c r="E14" s="279">
        <f>+G13+1</f>
        <v>46119</v>
      </c>
      <c r="F14" s="100" t="s">
        <v>36</v>
      </c>
      <c r="G14" s="291">
        <v>46127</v>
      </c>
      <c r="H14" s="98" t="s">
        <v>39</v>
      </c>
      <c r="I14" s="109">
        <v>3981.43</v>
      </c>
      <c r="J14" s="102">
        <v>155000</v>
      </c>
      <c r="K14" s="103">
        <f t="shared" si="39"/>
        <v>617121650</v>
      </c>
      <c r="L14" s="104">
        <v>41</v>
      </c>
      <c r="M14" s="105"/>
      <c r="N14" s="106"/>
      <c r="O14" s="110">
        <f t="shared" si="32"/>
        <v>143518.51851851851</v>
      </c>
      <c r="P14" s="111">
        <f t="shared" si="33"/>
        <v>571408935.18518507</v>
      </c>
      <c r="Q14" s="111">
        <f t="shared" si="34"/>
        <v>45712714.814814806</v>
      </c>
      <c r="R14" s="112">
        <f t="shared" si="35"/>
        <v>617121649.99999988</v>
      </c>
      <c r="S14" s="106">
        <f t="shared" si="36"/>
        <v>0</v>
      </c>
      <c r="T14" s="106">
        <f t="shared" si="16"/>
        <v>0</v>
      </c>
      <c r="U14" s="106">
        <f t="shared" si="37"/>
        <v>0</v>
      </c>
      <c r="V14" s="84" t="s">
        <v>63</v>
      </c>
      <c r="W14" s="83">
        <f>+Table2[[#This Row],[Tổng cộng]]-SUM(X14:Z14)</f>
        <v>617121649.99999988</v>
      </c>
      <c r="X14" s="83"/>
      <c r="Y14" s="318"/>
      <c r="Z14" s="83"/>
      <c r="AA14" s="83"/>
      <c r="AB14" s="84"/>
      <c r="AC14" s="294">
        <f>7000126-276</f>
        <v>6999850</v>
      </c>
      <c r="AD14" s="106"/>
      <c r="AE14" s="98"/>
      <c r="AF14" s="102"/>
      <c r="AG14" s="98"/>
      <c r="AH14" s="98"/>
      <c r="AI14" s="98"/>
      <c r="AJ14" s="95"/>
      <c r="AK14" s="98"/>
      <c r="AL14" s="98"/>
      <c r="AM14" s="107"/>
      <c r="AN14" s="98">
        <f t="shared" si="7"/>
        <v>49369732</v>
      </c>
      <c r="AO14" s="107"/>
      <c r="AP14" s="107"/>
      <c r="AQ14" s="107"/>
      <c r="AR14" s="107"/>
      <c r="AS14" s="108"/>
      <c r="AT14" s="86"/>
      <c r="AU14" s="116"/>
    </row>
    <row r="15" spans="1:52" s="87" customFormat="1" ht="24.95" customHeight="1" x14ac:dyDescent="0.25">
      <c r="A15" s="88">
        <v>42026</v>
      </c>
      <c r="B15" s="99" t="s">
        <v>2</v>
      </c>
      <c r="C15" s="98" t="s">
        <v>265</v>
      </c>
      <c r="D15" s="98" t="s">
        <v>31</v>
      </c>
      <c r="E15" s="279">
        <f>+G14+1</f>
        <v>46128</v>
      </c>
      <c r="F15" s="100" t="s">
        <v>14</v>
      </c>
      <c r="G15" s="291">
        <v>46136</v>
      </c>
      <c r="H15" s="98" t="s">
        <v>35</v>
      </c>
      <c r="I15" s="109">
        <v>4008.27</v>
      </c>
      <c r="J15" s="102">
        <v>210000</v>
      </c>
      <c r="K15" s="103">
        <f t="shared" ref="K15:K16" si="41">I15*J15</f>
        <v>841736700</v>
      </c>
      <c r="L15" s="104">
        <v>45</v>
      </c>
      <c r="M15" s="105"/>
      <c r="N15" s="106"/>
      <c r="O15" s="110">
        <f t="shared" si="32"/>
        <v>194444.44444444444</v>
      </c>
      <c r="P15" s="111">
        <f t="shared" si="33"/>
        <v>779385833.33333325</v>
      </c>
      <c r="Q15" s="111">
        <f t="shared" si="34"/>
        <v>62350866.666666664</v>
      </c>
      <c r="R15" s="112">
        <f t="shared" si="35"/>
        <v>841736699.99999988</v>
      </c>
      <c r="S15" s="106">
        <f t="shared" si="36"/>
        <v>0</v>
      </c>
      <c r="T15" s="106">
        <f t="shared" si="16"/>
        <v>0</v>
      </c>
      <c r="U15" s="106">
        <f t="shared" si="37"/>
        <v>0</v>
      </c>
      <c r="V15" s="84" t="s">
        <v>62</v>
      </c>
      <c r="W15" s="83">
        <f>+Table2[[#This Row],[Tổng cộng]]-SUM(X15:Z15)</f>
        <v>841736699.99999988</v>
      </c>
      <c r="X15" s="83"/>
      <c r="Y15" s="318"/>
      <c r="Z15" s="83"/>
      <c r="AA15" s="83"/>
      <c r="AB15" s="84"/>
      <c r="AC15" s="294"/>
      <c r="AD15" s="106"/>
      <c r="AE15" s="98"/>
      <c r="AF15" s="102"/>
      <c r="AG15" s="98"/>
      <c r="AH15" s="98"/>
      <c r="AI15" s="98"/>
      <c r="AJ15" s="95"/>
      <c r="AK15" s="98"/>
      <c r="AL15" s="98"/>
      <c r="AM15" s="107"/>
      <c r="AN15" s="98"/>
      <c r="AO15" s="107"/>
      <c r="AP15" s="107"/>
      <c r="AQ15" s="107"/>
      <c r="AR15" s="107"/>
      <c r="AS15" s="108"/>
      <c r="AT15" s="86"/>
      <c r="AU15" s="116"/>
    </row>
    <row r="16" spans="1:52" s="87" customFormat="1" ht="24.95" customHeight="1" x14ac:dyDescent="0.25">
      <c r="A16" s="88">
        <v>42026</v>
      </c>
      <c r="B16" s="99" t="s">
        <v>2</v>
      </c>
      <c r="C16" s="98" t="s">
        <v>266</v>
      </c>
      <c r="D16" s="98" t="s">
        <v>179</v>
      </c>
      <c r="E16" s="279">
        <f>+G15+1</f>
        <v>46137</v>
      </c>
      <c r="F16" s="100" t="s">
        <v>36</v>
      </c>
      <c r="G16" s="291">
        <v>46150</v>
      </c>
      <c r="H16" s="98" t="s">
        <v>229</v>
      </c>
      <c r="I16" s="109">
        <v>3951.44</v>
      </c>
      <c r="J16" s="102">
        <v>160000</v>
      </c>
      <c r="K16" s="103">
        <f t="shared" si="41"/>
        <v>632230400</v>
      </c>
      <c r="L16" s="104">
        <v>51</v>
      </c>
      <c r="M16" s="105"/>
      <c r="N16" s="106"/>
      <c r="O16" s="110">
        <f t="shared" si="32"/>
        <v>148148.14814814815</v>
      </c>
      <c r="P16" s="111">
        <f t="shared" si="33"/>
        <v>585398518.51851857</v>
      </c>
      <c r="Q16" s="111">
        <f t="shared" si="34"/>
        <v>46831881.481481485</v>
      </c>
      <c r="R16" s="112">
        <f t="shared" si="35"/>
        <v>632230400</v>
      </c>
      <c r="S16" s="106">
        <f t="shared" si="36"/>
        <v>0</v>
      </c>
      <c r="T16" s="106">
        <f t="shared" si="16"/>
        <v>0</v>
      </c>
      <c r="U16" s="106">
        <f t="shared" si="37"/>
        <v>0</v>
      </c>
      <c r="V16" s="113" t="s">
        <v>62</v>
      </c>
      <c r="W16" s="112">
        <f>+Table2[[#This Row],[Tổng cộng]]-SUM(X16:Z16)</f>
        <v>632230400</v>
      </c>
      <c r="X16" s="112"/>
      <c r="Y16" s="288"/>
      <c r="Z16" s="83"/>
      <c r="AA16" s="83"/>
      <c r="AB16" s="113"/>
      <c r="AC16" s="294"/>
      <c r="AD16" s="106"/>
      <c r="AE16" s="98"/>
      <c r="AF16" s="102"/>
      <c r="AG16" s="98"/>
      <c r="AH16" s="98"/>
      <c r="AI16" s="98"/>
      <c r="AJ16" s="95"/>
      <c r="AK16" s="98"/>
      <c r="AL16" s="98"/>
      <c r="AM16" s="107"/>
      <c r="AN16" s="98"/>
      <c r="AO16" s="107"/>
      <c r="AP16" s="107"/>
      <c r="AQ16" s="107"/>
      <c r="AR16" s="107"/>
      <c r="AS16" s="108"/>
      <c r="AT16" s="86"/>
      <c r="AU16" s="116"/>
    </row>
    <row r="17" spans="1:48" s="87" customFormat="1" ht="24.95" customHeight="1" x14ac:dyDescent="0.25">
      <c r="A17" s="88"/>
      <c r="B17" s="99"/>
      <c r="C17" s="98"/>
      <c r="D17" s="98"/>
      <c r="E17" s="279"/>
      <c r="F17" s="100"/>
      <c r="G17" s="291"/>
      <c r="H17" s="98"/>
      <c r="I17" s="109"/>
      <c r="J17" s="102"/>
      <c r="K17" s="103"/>
      <c r="L17" s="104"/>
      <c r="M17" s="105"/>
      <c r="N17" s="106"/>
      <c r="O17" s="110"/>
      <c r="P17" s="111"/>
      <c r="Q17" s="111"/>
      <c r="R17" s="112"/>
      <c r="S17" s="106"/>
      <c r="T17" s="106"/>
      <c r="U17" s="106"/>
      <c r="V17" s="113"/>
      <c r="W17" s="112">
        <f>+Table2[[#This Row],[Tổng cộng]]-SUM(X17:Z17)</f>
        <v>0</v>
      </c>
      <c r="X17" s="112">
        <v>0</v>
      </c>
      <c r="Y17" s="288"/>
      <c r="Z17" s="83"/>
      <c r="AA17" s="83"/>
      <c r="AB17" s="113"/>
      <c r="AC17" s="294"/>
      <c r="AD17" s="106"/>
      <c r="AE17" s="98"/>
      <c r="AF17" s="102"/>
      <c r="AG17" s="98"/>
      <c r="AH17" s="98"/>
      <c r="AI17" s="98"/>
      <c r="AJ17" s="95"/>
      <c r="AK17" s="98"/>
      <c r="AL17" s="98"/>
      <c r="AM17" s="107"/>
      <c r="AN17" s="98"/>
      <c r="AO17" s="107"/>
      <c r="AP17" s="107"/>
      <c r="AQ17" s="107"/>
      <c r="AR17" s="107"/>
      <c r="AS17" s="108"/>
      <c r="AT17" s="86"/>
      <c r="AU17" s="116"/>
    </row>
    <row r="18" spans="1:48" s="87" customFormat="1" ht="24.95" customHeight="1" x14ac:dyDescent="0.25">
      <c r="A18" s="88"/>
      <c r="B18" s="99"/>
      <c r="C18" s="98"/>
      <c r="D18" s="98"/>
      <c r="E18" s="281"/>
      <c r="F18" s="100"/>
      <c r="G18" s="101"/>
      <c r="H18" s="98"/>
      <c r="I18" s="109"/>
      <c r="J18" s="102"/>
      <c r="K18" s="103"/>
      <c r="L18" s="104"/>
      <c r="M18" s="105"/>
      <c r="N18" s="106"/>
      <c r="O18" s="110"/>
      <c r="P18" s="111"/>
      <c r="Q18" s="111"/>
      <c r="R18" s="112"/>
      <c r="S18" s="106"/>
      <c r="T18" s="106"/>
      <c r="U18" s="106"/>
      <c r="V18" s="113"/>
      <c r="W18" s="112">
        <f>+Table2[[#This Row],[Tổng cộng]]-SUM(X18:Z18)</f>
        <v>0</v>
      </c>
      <c r="X18" s="112">
        <v>0</v>
      </c>
      <c r="Y18" s="288"/>
      <c r="Z18" s="83"/>
      <c r="AA18" s="83"/>
      <c r="AB18" s="113"/>
      <c r="AC18" s="288"/>
      <c r="AD18" s="106"/>
      <c r="AE18" s="98"/>
      <c r="AF18" s="102"/>
      <c r="AG18" s="98"/>
      <c r="AH18" s="98"/>
      <c r="AI18" s="98"/>
      <c r="AJ18" s="95"/>
      <c r="AK18" s="98"/>
      <c r="AL18" s="98"/>
      <c r="AM18" s="107"/>
      <c r="AN18" s="98">
        <f t="shared" ref="AN18:AN25" si="42">+K18*0.08</f>
        <v>0</v>
      </c>
      <c r="AO18" s="107"/>
      <c r="AP18" s="107"/>
      <c r="AQ18" s="107"/>
      <c r="AR18" s="107"/>
      <c r="AS18" s="108"/>
      <c r="AT18" s="86">
        <f t="shared" si="8"/>
        <v>0</v>
      </c>
      <c r="AU18" s="116">
        <f t="shared" ref="AU18:AU25" si="43">+G18-E18</f>
        <v>0</v>
      </c>
    </row>
    <row r="19" spans="1:48" s="116" customFormat="1" ht="24.95" customHeight="1" x14ac:dyDescent="0.25">
      <c r="A19" s="130">
        <v>12026</v>
      </c>
      <c r="B19" s="118" t="s">
        <v>0</v>
      </c>
      <c r="C19" s="117" t="s">
        <v>98</v>
      </c>
      <c r="D19" s="117" t="s">
        <v>37</v>
      </c>
      <c r="E19" s="114">
        <v>46021</v>
      </c>
      <c r="F19" s="119" t="s">
        <v>36</v>
      </c>
      <c r="G19" s="114">
        <v>46037</v>
      </c>
      <c r="H19" s="117" t="s">
        <v>39</v>
      </c>
      <c r="I19" s="119">
        <v>4585.4799999999996</v>
      </c>
      <c r="J19" s="120">
        <v>125000</v>
      </c>
      <c r="K19" s="121">
        <f t="shared" ref="K19:K25" si="44">I19*J19</f>
        <v>573185000</v>
      </c>
      <c r="L19" s="122">
        <v>6</v>
      </c>
      <c r="M19" s="277" t="s">
        <v>207</v>
      </c>
      <c r="N19" s="123">
        <v>-2705.9108315814269</v>
      </c>
      <c r="O19" s="124">
        <f t="shared" ref="O19" si="45">+(J19+N19)/1.08</f>
        <v>113235.26774853571</v>
      </c>
      <c r="P19" s="125">
        <f t="shared" ref="P19:P20" si="46">I19*O19</f>
        <v>519238055.55555546</v>
      </c>
      <c r="Q19" s="125">
        <f t="shared" ref="Q19" si="47">P19*0.08</f>
        <v>41539044.44444444</v>
      </c>
      <c r="R19" s="126">
        <f t="shared" ref="R19" si="48">(+P19+Q19)</f>
        <v>560777099.99999988</v>
      </c>
      <c r="S19" s="123">
        <f t="shared" ref="S19" si="49">R19-K19</f>
        <v>-12407900.000000119</v>
      </c>
      <c r="T19" s="123">
        <f>S19/1.08*28%</f>
        <v>-3216862.9629629944</v>
      </c>
      <c r="U19" s="123">
        <f t="shared" ref="U19" si="50">S19-T19</f>
        <v>-9191037.0370371249</v>
      </c>
      <c r="V19" s="127" t="s">
        <v>63</v>
      </c>
      <c r="W19" s="126">
        <f>+Table2[[#This Row],[Tổng cộng]]-SUM(X19:Z19)</f>
        <v>0</v>
      </c>
      <c r="X19" s="126">
        <v>560777099.99999988</v>
      </c>
      <c r="Y19" s="320"/>
      <c r="Z19" s="83"/>
      <c r="AA19" s="83"/>
      <c r="AB19" s="127"/>
      <c r="AC19" s="290">
        <v>57146836</v>
      </c>
      <c r="AD19" s="123"/>
      <c r="AE19" s="120">
        <v>4180000</v>
      </c>
      <c r="AF19" s="120">
        <v>18961000</v>
      </c>
      <c r="AG19" s="117">
        <v>9979200</v>
      </c>
      <c r="AH19" s="117"/>
      <c r="AI19" s="117">
        <v>7779048</v>
      </c>
      <c r="AJ19" s="115">
        <v>11132000</v>
      </c>
      <c r="AK19" s="120">
        <v>736178300</v>
      </c>
      <c r="AL19" s="117"/>
      <c r="AM19" s="128">
        <v>254782699.66666666</v>
      </c>
      <c r="AN19" s="133">
        <f t="shared" si="42"/>
        <v>45854800</v>
      </c>
      <c r="AO19" s="115">
        <v>12061667</v>
      </c>
      <c r="AP19" s="128">
        <v>53580000</v>
      </c>
      <c r="AQ19" s="128"/>
      <c r="AR19" s="128">
        <v>1316000</v>
      </c>
      <c r="AS19" s="129"/>
      <c r="AT19" s="86">
        <f t="shared" ref="AT19:AT57" si="51">+SUM(AC19:AS19)</f>
        <v>1212951550.6666667</v>
      </c>
      <c r="AU19" s="116">
        <f t="shared" si="43"/>
        <v>16</v>
      </c>
    </row>
    <row r="20" spans="1:48" s="116" customFormat="1" ht="24.95" customHeight="1" x14ac:dyDescent="0.25">
      <c r="A20" s="130">
        <v>12026</v>
      </c>
      <c r="B20" s="131" t="s">
        <v>0</v>
      </c>
      <c r="C20" s="130" t="s">
        <v>158</v>
      </c>
      <c r="D20" s="130" t="s">
        <v>17</v>
      </c>
      <c r="E20" s="114">
        <f>+G19+1</f>
        <v>46038</v>
      </c>
      <c r="F20" s="132" t="s">
        <v>24</v>
      </c>
      <c r="G20" s="114">
        <v>46046</v>
      </c>
      <c r="H20" s="131" t="s">
        <v>16</v>
      </c>
      <c r="I20" s="119">
        <v>4695.28</v>
      </c>
      <c r="J20" s="133">
        <v>180000</v>
      </c>
      <c r="K20" s="134">
        <f t="shared" si="44"/>
        <v>845150400</v>
      </c>
      <c r="L20" s="135">
        <v>10</v>
      </c>
      <c r="M20" s="136" t="s">
        <v>214</v>
      </c>
      <c r="N20" s="137">
        <v>10000</v>
      </c>
      <c r="O20" s="138">
        <f t="shared" ref="O20" si="52">+(J20+N20)/1.08</f>
        <v>175925.92592592593</v>
      </c>
      <c r="P20" s="139">
        <f t="shared" si="46"/>
        <v>826021481.48148143</v>
      </c>
      <c r="Q20" s="139">
        <f t="shared" ref="Q20" si="53">P20*0.08</f>
        <v>66081718.518518515</v>
      </c>
      <c r="R20" s="140">
        <f>(+P20+Q20)</f>
        <v>892103200</v>
      </c>
      <c r="S20" s="137">
        <f>R20-K20</f>
        <v>46952800</v>
      </c>
      <c r="T20" s="137">
        <f t="shared" ref="T20:T27" si="54">S20/1.08*28%</f>
        <v>12172948.148148149</v>
      </c>
      <c r="U20" s="137">
        <f t="shared" ref="U20" si="55">S20-T20</f>
        <v>34779851.851851851</v>
      </c>
      <c r="V20" s="141" t="s">
        <v>62</v>
      </c>
      <c r="W20" s="140">
        <f>+Table2[[#This Row],[Tổng cộng]]-SUM(X20:Z20)</f>
        <v>0</v>
      </c>
      <c r="X20" s="140">
        <v>892103200</v>
      </c>
      <c r="Y20" s="290"/>
      <c r="Z20" s="83"/>
      <c r="AA20" s="83"/>
      <c r="AB20" s="141"/>
      <c r="AC20" s="123">
        <v>44012220</v>
      </c>
      <c r="AD20" s="137">
        <v>32791040</v>
      </c>
      <c r="AE20" s="120">
        <v>5800000</v>
      </c>
      <c r="AF20" s="133">
        <v>7300000</v>
      </c>
      <c r="AG20" s="130"/>
      <c r="AH20" s="130"/>
      <c r="AI20" s="130"/>
      <c r="AJ20" s="115">
        <v>5775000</v>
      </c>
      <c r="AK20" s="120"/>
      <c r="AL20" s="130"/>
      <c r="AM20" s="128">
        <v>22816000</v>
      </c>
      <c r="AN20" s="133">
        <f t="shared" si="42"/>
        <v>67612032</v>
      </c>
      <c r="AO20" s="130"/>
      <c r="AP20" s="130"/>
      <c r="AQ20" s="130"/>
      <c r="AR20" s="130"/>
      <c r="AS20" s="142"/>
      <c r="AT20" s="86">
        <f t="shared" si="51"/>
        <v>186106292</v>
      </c>
      <c r="AU20" s="116">
        <f t="shared" si="43"/>
        <v>8</v>
      </c>
    </row>
    <row r="21" spans="1:48" s="116" customFormat="1" ht="24.95" customHeight="1" x14ac:dyDescent="0.25">
      <c r="A21" s="130">
        <v>22026</v>
      </c>
      <c r="B21" s="131" t="s">
        <v>0</v>
      </c>
      <c r="C21" s="130" t="s">
        <v>177</v>
      </c>
      <c r="D21" s="130" t="s">
        <v>200</v>
      </c>
      <c r="E21" s="114">
        <f t="shared" ref="E21:E25" si="56">+G20+1</f>
        <v>46047</v>
      </c>
      <c r="F21" s="132" t="s">
        <v>93</v>
      </c>
      <c r="G21" s="114">
        <v>46058</v>
      </c>
      <c r="H21" s="131" t="s">
        <v>89</v>
      </c>
      <c r="I21" s="119">
        <v>4576.5</v>
      </c>
      <c r="J21" s="133">
        <v>95000</v>
      </c>
      <c r="K21" s="134">
        <f t="shared" si="44"/>
        <v>434767500</v>
      </c>
      <c r="L21" s="135">
        <v>17</v>
      </c>
      <c r="M21" s="136"/>
      <c r="N21" s="137"/>
      <c r="O21" s="138">
        <f t="shared" ref="O21" si="57">+(J21+N21)/1.08</f>
        <v>87962.962962962964</v>
      </c>
      <c r="P21" s="139">
        <f t="shared" ref="P21" si="58">I21*O21</f>
        <v>402562500</v>
      </c>
      <c r="Q21" s="139">
        <f t="shared" ref="Q21" si="59">P21*0.08</f>
        <v>32205000</v>
      </c>
      <c r="R21" s="140">
        <f>(+P21+Q21)</f>
        <v>434767500</v>
      </c>
      <c r="S21" s="137">
        <f>R21-K21</f>
        <v>0</v>
      </c>
      <c r="T21" s="137">
        <f t="shared" si="54"/>
        <v>0</v>
      </c>
      <c r="U21" s="137">
        <f t="shared" ref="U21" si="60">S21-T21</f>
        <v>0</v>
      </c>
      <c r="V21" s="141" t="s">
        <v>62</v>
      </c>
      <c r="W21" s="140">
        <f>+Table2[[#This Row],[Tổng cộng]]-SUM(X21:Z21)</f>
        <v>0</v>
      </c>
      <c r="X21" s="140">
        <v>434767500</v>
      </c>
      <c r="Y21" s="290"/>
      <c r="Z21" s="83"/>
      <c r="AA21" s="83"/>
      <c r="AB21" s="141"/>
      <c r="AC21" s="137">
        <v>43024312</v>
      </c>
      <c r="AD21" s="137"/>
      <c r="AE21" s="120">
        <v>7400000</v>
      </c>
      <c r="AF21" s="133">
        <v>12570000</v>
      </c>
      <c r="AG21" s="130"/>
      <c r="AH21" s="130"/>
      <c r="AI21" s="130"/>
      <c r="AJ21" s="115">
        <v>9900000</v>
      </c>
      <c r="AK21" s="120">
        <v>355195500</v>
      </c>
      <c r="AL21" s="130"/>
      <c r="AM21" s="128">
        <v>254782699.66666666</v>
      </c>
      <c r="AN21" s="133">
        <f t="shared" si="42"/>
        <v>34781400</v>
      </c>
      <c r="AO21" s="115">
        <v>12061667</v>
      </c>
      <c r="AP21" s="128">
        <v>22817000</v>
      </c>
      <c r="AQ21" s="128">
        <v>7175640</v>
      </c>
      <c r="AR21" s="128">
        <v>2995000</v>
      </c>
      <c r="AS21" s="142"/>
      <c r="AT21" s="86">
        <f t="shared" si="51"/>
        <v>762703218.66666663</v>
      </c>
      <c r="AU21" s="116">
        <f t="shared" si="43"/>
        <v>11</v>
      </c>
    </row>
    <row r="22" spans="1:48" s="116" customFormat="1" ht="24.95" customHeight="1" x14ac:dyDescent="0.25">
      <c r="A22" s="130">
        <v>22026</v>
      </c>
      <c r="B22" s="131" t="s">
        <v>0</v>
      </c>
      <c r="C22" s="130" t="s">
        <v>178</v>
      </c>
      <c r="D22" s="130" t="s">
        <v>17</v>
      </c>
      <c r="E22" s="114">
        <f t="shared" si="56"/>
        <v>46059</v>
      </c>
      <c r="F22" s="132" t="s">
        <v>24</v>
      </c>
      <c r="G22" s="114">
        <v>46080</v>
      </c>
      <c r="H22" s="131" t="s">
        <v>35</v>
      </c>
      <c r="I22" s="119">
        <v>4745</v>
      </c>
      <c r="J22" s="133">
        <v>193000</v>
      </c>
      <c r="K22" s="134">
        <f t="shared" si="44"/>
        <v>915785000</v>
      </c>
      <c r="L22" s="135">
        <v>21</v>
      </c>
      <c r="M22" s="136"/>
      <c r="N22" s="137">
        <v>10000</v>
      </c>
      <c r="O22" s="138">
        <f t="shared" ref="O22" si="61">+(J22+N22)/1.08</f>
        <v>187962.96296296295</v>
      </c>
      <c r="P22" s="139">
        <f t="shared" ref="P22" si="62">I22*O22</f>
        <v>891884259.25925922</v>
      </c>
      <c r="Q22" s="139">
        <f t="shared" ref="Q22" si="63">P22*0.08</f>
        <v>71350740.740740746</v>
      </c>
      <c r="R22" s="140">
        <f t="shared" ref="R22" si="64">(+P22+Q22)</f>
        <v>963235000</v>
      </c>
      <c r="S22" s="137">
        <f t="shared" ref="S22" si="65">R22-K22</f>
        <v>47450000</v>
      </c>
      <c r="T22" s="137">
        <f t="shared" si="54"/>
        <v>12301851.851851851</v>
      </c>
      <c r="U22" s="137">
        <f t="shared" ref="U22" si="66">S22-T22</f>
        <v>35148148.148148149</v>
      </c>
      <c r="V22" s="141" t="s">
        <v>62</v>
      </c>
      <c r="W22" s="140">
        <f>+Table2[[#This Row],[Tổng cộng]]-SUM(X22:Z22)</f>
        <v>0</v>
      </c>
      <c r="X22" s="140">
        <v>963235000</v>
      </c>
      <c r="Y22" s="290"/>
      <c r="Z22" s="83"/>
      <c r="AA22" s="83"/>
      <c r="AB22" s="141"/>
      <c r="AC22" s="290">
        <v>43593515</v>
      </c>
      <c r="AD22" s="290">
        <v>36923510</v>
      </c>
      <c r="AE22" s="120">
        <f>2800000+27200000</f>
        <v>30000000</v>
      </c>
      <c r="AF22" s="133"/>
      <c r="AG22" s="130"/>
      <c r="AH22" s="130"/>
      <c r="AI22" s="130"/>
      <c r="AJ22" s="115"/>
      <c r="AK22" s="120"/>
      <c r="AL22" s="130"/>
      <c r="AM22" s="128">
        <v>22816000</v>
      </c>
      <c r="AN22" s="133">
        <f t="shared" si="42"/>
        <v>73262800</v>
      </c>
      <c r="AO22" s="130"/>
      <c r="AP22" s="128"/>
      <c r="AQ22" s="128"/>
      <c r="AR22" s="128"/>
      <c r="AS22" s="142"/>
      <c r="AT22" s="86">
        <f t="shared" si="51"/>
        <v>206595825</v>
      </c>
      <c r="AU22" s="116">
        <f t="shared" si="43"/>
        <v>21</v>
      </c>
    </row>
    <row r="23" spans="1:48" s="116" customFormat="1" ht="24.95" customHeight="1" x14ac:dyDescent="0.25">
      <c r="A23" s="130">
        <v>32026</v>
      </c>
      <c r="B23" s="131" t="s">
        <v>0</v>
      </c>
      <c r="C23" s="130" t="s">
        <v>222</v>
      </c>
      <c r="D23" s="130" t="s">
        <v>37</v>
      </c>
      <c r="E23" s="114">
        <f t="shared" si="56"/>
        <v>46081</v>
      </c>
      <c r="F23" s="132" t="s">
        <v>36</v>
      </c>
      <c r="G23" s="114">
        <v>46096</v>
      </c>
      <c r="H23" s="131" t="s">
        <v>39</v>
      </c>
      <c r="I23" s="119">
        <v>4604.8900000000003</v>
      </c>
      <c r="J23" s="133">
        <v>120000</v>
      </c>
      <c r="K23" s="134">
        <f t="shared" si="44"/>
        <v>552586800</v>
      </c>
      <c r="L23" s="135">
        <v>26</v>
      </c>
      <c r="M23" s="136"/>
      <c r="N23" s="137">
        <v>20000</v>
      </c>
      <c r="O23" s="138">
        <f t="shared" ref="O23" si="67">+(J23+N23)/1.08</f>
        <v>129629.62962962962</v>
      </c>
      <c r="P23" s="139">
        <f t="shared" ref="P23" si="68">I23*O23</f>
        <v>596930185.18518519</v>
      </c>
      <c r="Q23" s="139">
        <f t="shared" ref="Q23" si="69">P23*0.08</f>
        <v>47754414.814814813</v>
      </c>
      <c r="R23" s="140">
        <f t="shared" ref="R23" si="70">(+P23+Q23)</f>
        <v>644684600</v>
      </c>
      <c r="S23" s="137">
        <f t="shared" ref="S23" si="71">R23-K23</f>
        <v>92097800</v>
      </c>
      <c r="T23" s="137">
        <f t="shared" si="54"/>
        <v>23877207.407407407</v>
      </c>
      <c r="U23" s="137">
        <f t="shared" ref="U23" si="72">S23-T23</f>
        <v>68220592.592592597</v>
      </c>
      <c r="V23" s="127" t="s">
        <v>63</v>
      </c>
      <c r="W23" s="126">
        <f>+Table2[[#This Row],[Tổng cộng]]-SUM(X23:Z23)</f>
        <v>0</v>
      </c>
      <c r="X23" s="126">
        <v>644684600</v>
      </c>
      <c r="Y23" s="320"/>
      <c r="Z23" s="83"/>
      <c r="AA23" s="83"/>
      <c r="AB23" s="127"/>
      <c r="AC23" s="290">
        <v>56025556</v>
      </c>
      <c r="AD23" s="137"/>
      <c r="AE23" s="130"/>
      <c r="AF23" s="133"/>
      <c r="AG23" s="130"/>
      <c r="AH23" s="130"/>
      <c r="AI23" s="130"/>
      <c r="AJ23" s="115"/>
      <c r="AK23" s="120"/>
      <c r="AL23" s="130"/>
      <c r="AM23" s="130"/>
      <c r="AN23" s="130">
        <f t="shared" si="42"/>
        <v>44206944</v>
      </c>
      <c r="AO23" s="130"/>
      <c r="AP23" s="128"/>
      <c r="AQ23" s="128"/>
      <c r="AR23" s="128"/>
      <c r="AS23" s="142"/>
      <c r="AT23" s="86">
        <f t="shared" si="51"/>
        <v>100232500</v>
      </c>
      <c r="AU23" s="116">
        <f t="shared" si="43"/>
        <v>15</v>
      </c>
    </row>
    <row r="24" spans="1:48" s="116" customFormat="1" ht="24.95" customHeight="1" x14ac:dyDescent="0.25">
      <c r="A24" s="130">
        <v>32026</v>
      </c>
      <c r="B24" s="131" t="s">
        <v>0</v>
      </c>
      <c r="C24" s="130" t="s">
        <v>232</v>
      </c>
      <c r="D24" s="130" t="s">
        <v>17</v>
      </c>
      <c r="E24" s="114">
        <f t="shared" si="56"/>
        <v>46097</v>
      </c>
      <c r="F24" s="132" t="s">
        <v>24</v>
      </c>
      <c r="G24" s="114">
        <v>46107</v>
      </c>
      <c r="H24" s="131" t="s">
        <v>247</v>
      </c>
      <c r="I24" s="119">
        <v>4740</v>
      </c>
      <c r="J24" s="133">
        <v>210000</v>
      </c>
      <c r="K24" s="134">
        <f t="shared" si="44"/>
        <v>995400000</v>
      </c>
      <c r="L24" s="135">
        <v>29</v>
      </c>
      <c r="M24" s="136"/>
      <c r="N24" s="137">
        <v>30000</v>
      </c>
      <c r="O24" s="138">
        <f t="shared" ref="O24:O25" si="73">+(J24+N24)/1.08</f>
        <v>222222.22222222222</v>
      </c>
      <c r="P24" s="139">
        <f t="shared" ref="P24:P25" si="74">I24*O24</f>
        <v>1053333333.3333334</v>
      </c>
      <c r="Q24" s="139">
        <f t="shared" ref="Q24:Q25" si="75">P24*0.08</f>
        <v>84266666.666666672</v>
      </c>
      <c r="R24" s="140">
        <f t="shared" ref="R24:R25" si="76">(+P24+Q24)</f>
        <v>1137600000</v>
      </c>
      <c r="S24" s="137">
        <f t="shared" ref="S24:S25" si="77">R24-K24</f>
        <v>142200000</v>
      </c>
      <c r="T24" s="137">
        <f t="shared" si="54"/>
        <v>36866666.666666664</v>
      </c>
      <c r="U24" s="137">
        <f t="shared" ref="U24:U25" si="78">S24-T24</f>
        <v>105333333.33333334</v>
      </c>
      <c r="V24" s="141" t="s">
        <v>62</v>
      </c>
      <c r="W24" s="140">
        <f>+Table2[[#This Row],[Tổng cộng]]-SUM(X24:Z24)</f>
        <v>0</v>
      </c>
      <c r="X24" s="140">
        <v>1137600000</v>
      </c>
      <c r="Y24" s="290"/>
      <c r="Z24" s="83"/>
      <c r="AA24" s="83"/>
      <c r="AB24" s="141"/>
      <c r="AC24" s="137">
        <v>43126475</v>
      </c>
      <c r="AD24" s="290">
        <v>21699456</v>
      </c>
      <c r="AE24" s="130"/>
      <c r="AF24" s="133"/>
      <c r="AG24" s="130"/>
      <c r="AH24" s="130"/>
      <c r="AI24" s="130"/>
      <c r="AJ24" s="115"/>
      <c r="AK24" s="120"/>
      <c r="AL24" s="130"/>
      <c r="AM24" s="130"/>
      <c r="AN24" s="130">
        <f t="shared" si="42"/>
        <v>79632000</v>
      </c>
      <c r="AO24" s="130"/>
      <c r="AP24" s="130"/>
      <c r="AQ24" s="130"/>
      <c r="AR24" s="130"/>
      <c r="AS24" s="142"/>
      <c r="AT24" s="86">
        <f t="shared" si="51"/>
        <v>144457931</v>
      </c>
      <c r="AU24" s="116">
        <f t="shared" si="43"/>
        <v>10</v>
      </c>
    </row>
    <row r="25" spans="1:48" s="116" customFormat="1" ht="24.95" customHeight="1" x14ac:dyDescent="0.25">
      <c r="A25" s="130">
        <v>42026</v>
      </c>
      <c r="B25" s="131" t="s">
        <v>0</v>
      </c>
      <c r="C25" s="130" t="s">
        <v>246</v>
      </c>
      <c r="D25" s="130" t="s">
        <v>37</v>
      </c>
      <c r="E25" s="114">
        <f t="shared" si="56"/>
        <v>46108</v>
      </c>
      <c r="F25" s="132" t="s">
        <v>36</v>
      </c>
      <c r="G25" s="114">
        <v>46116</v>
      </c>
      <c r="H25" s="131" t="s">
        <v>39</v>
      </c>
      <c r="I25" s="119">
        <v>4589.1899999999996</v>
      </c>
      <c r="J25" s="133">
        <v>150000</v>
      </c>
      <c r="K25" s="134">
        <f t="shared" si="44"/>
        <v>688378499.99999988</v>
      </c>
      <c r="L25" s="135">
        <v>36</v>
      </c>
      <c r="M25" s="136"/>
      <c r="N25" s="137">
        <v>20000</v>
      </c>
      <c r="O25" s="138">
        <f t="shared" si="73"/>
        <v>157407.40740740739</v>
      </c>
      <c r="P25" s="139">
        <f t="shared" si="74"/>
        <v>722372499.99999988</v>
      </c>
      <c r="Q25" s="139">
        <f t="shared" si="75"/>
        <v>57789799.999999993</v>
      </c>
      <c r="R25" s="140">
        <f t="shared" si="76"/>
        <v>780162299.99999988</v>
      </c>
      <c r="S25" s="137">
        <f t="shared" si="77"/>
        <v>91783800</v>
      </c>
      <c r="T25" s="137">
        <f t="shared" si="54"/>
        <v>23795800.000000004</v>
      </c>
      <c r="U25" s="137">
        <f t="shared" si="78"/>
        <v>67988000</v>
      </c>
      <c r="V25" s="141" t="s">
        <v>63</v>
      </c>
      <c r="W25" s="140">
        <f>+Table2[[#This Row],[Tổng cộng]]-SUM(X25:Z25)</f>
        <v>780162299.99999988</v>
      </c>
      <c r="X25" s="140"/>
      <c r="Y25" s="290"/>
      <c r="Z25" s="83"/>
      <c r="AA25" s="83"/>
      <c r="AB25" s="141"/>
      <c r="AC25" s="298">
        <v>56448916</v>
      </c>
      <c r="AD25" s="298"/>
      <c r="AE25" s="130"/>
      <c r="AF25" s="133"/>
      <c r="AG25" s="130"/>
      <c r="AH25" s="130"/>
      <c r="AI25" s="130"/>
      <c r="AJ25" s="115"/>
      <c r="AK25" s="120"/>
      <c r="AL25" s="130"/>
      <c r="AM25" s="130"/>
      <c r="AN25" s="130">
        <f t="shared" si="42"/>
        <v>55070279.999999993</v>
      </c>
      <c r="AO25" s="130"/>
      <c r="AP25" s="130"/>
      <c r="AQ25" s="130"/>
      <c r="AR25" s="130"/>
      <c r="AS25" s="142"/>
      <c r="AT25" s="86"/>
      <c r="AU25" s="116">
        <f t="shared" si="43"/>
        <v>8</v>
      </c>
    </row>
    <row r="26" spans="1:48" s="116" customFormat="1" ht="24.95" customHeight="1" x14ac:dyDescent="0.25">
      <c r="A26" s="130">
        <v>42026</v>
      </c>
      <c r="B26" s="131" t="s">
        <v>0</v>
      </c>
      <c r="C26" s="130" t="s">
        <v>250</v>
      </c>
      <c r="D26" s="302" t="s">
        <v>17</v>
      </c>
      <c r="E26" s="114">
        <f>+G25+1</f>
        <v>46117</v>
      </c>
      <c r="F26" s="132" t="s">
        <v>24</v>
      </c>
      <c r="G26" s="114">
        <v>46130</v>
      </c>
      <c r="H26" s="131" t="s">
        <v>35</v>
      </c>
      <c r="I26" s="119">
        <v>4589.1899999999996</v>
      </c>
      <c r="J26" s="133">
        <v>150000</v>
      </c>
      <c r="K26" s="134">
        <f t="shared" ref="K26" si="79">I26*J26</f>
        <v>688378499.99999988</v>
      </c>
      <c r="L26" s="135">
        <v>42</v>
      </c>
      <c r="M26" s="136"/>
      <c r="N26" s="137"/>
      <c r="O26" s="138">
        <f t="shared" ref="O26:O27" si="80">+(J26+N26)/1.08</f>
        <v>138888.88888888888</v>
      </c>
      <c r="P26" s="139">
        <f t="shared" ref="P26:P27" si="81">I26*O26</f>
        <v>637387499.99999988</v>
      </c>
      <c r="Q26" s="139">
        <f t="shared" ref="Q26:Q27" si="82">P26*0.08</f>
        <v>50990999.999999993</v>
      </c>
      <c r="R26" s="140">
        <f t="shared" ref="R26:R27" si="83">(+P26+Q26)</f>
        <v>688378499.99999988</v>
      </c>
      <c r="S26" s="137">
        <f t="shared" ref="S26:S27" si="84">R26-K26</f>
        <v>0</v>
      </c>
      <c r="T26" s="137">
        <f t="shared" si="54"/>
        <v>0</v>
      </c>
      <c r="U26" s="137">
        <f t="shared" ref="U26:U27" si="85">S26-T26</f>
        <v>0</v>
      </c>
      <c r="V26" s="141" t="s">
        <v>62</v>
      </c>
      <c r="W26" s="140">
        <f>+Table2[[#This Row],[Tổng cộng]]-SUM(X26:Z26)</f>
        <v>0</v>
      </c>
      <c r="X26" s="140">
        <v>688378499.99999988</v>
      </c>
      <c r="Y26" s="290"/>
      <c r="Z26" s="83"/>
      <c r="AA26" s="83"/>
      <c r="AB26" s="141"/>
      <c r="AC26" s="137"/>
      <c r="AD26" s="298"/>
      <c r="AE26" s="130"/>
      <c r="AF26" s="133"/>
      <c r="AG26" s="130"/>
      <c r="AH26" s="130"/>
      <c r="AI26" s="130"/>
      <c r="AJ26" s="115"/>
      <c r="AK26" s="120"/>
      <c r="AL26" s="130"/>
      <c r="AM26" s="130"/>
      <c r="AN26" s="130"/>
      <c r="AO26" s="130"/>
      <c r="AP26" s="130"/>
      <c r="AQ26" s="130"/>
      <c r="AR26" s="130"/>
      <c r="AS26" s="142"/>
      <c r="AT26" s="86"/>
    </row>
    <row r="27" spans="1:48" s="116" customFormat="1" ht="24.95" customHeight="1" x14ac:dyDescent="0.25">
      <c r="A27" s="130">
        <v>42026</v>
      </c>
      <c r="B27" s="131" t="s">
        <v>0</v>
      </c>
      <c r="C27" s="130" t="s">
        <v>258</v>
      </c>
      <c r="D27" s="302" t="s">
        <v>37</v>
      </c>
      <c r="E27" s="114">
        <f>+G26+1</f>
        <v>46131</v>
      </c>
      <c r="F27" s="132" t="s">
        <v>24</v>
      </c>
      <c r="G27" s="114">
        <v>46148</v>
      </c>
      <c r="H27" s="131" t="s">
        <v>267</v>
      </c>
      <c r="I27" s="119">
        <v>1</v>
      </c>
      <c r="J27" s="133">
        <v>818640000</v>
      </c>
      <c r="K27" s="134">
        <f t="shared" ref="K27" si="86">I27*J27</f>
        <v>818640000</v>
      </c>
      <c r="L27" s="135">
        <v>50</v>
      </c>
      <c r="M27" s="136"/>
      <c r="N27" s="137"/>
      <c r="O27" s="138">
        <f t="shared" si="80"/>
        <v>758000000</v>
      </c>
      <c r="P27" s="139">
        <f t="shared" si="81"/>
        <v>758000000</v>
      </c>
      <c r="Q27" s="139">
        <f t="shared" si="82"/>
        <v>60640000</v>
      </c>
      <c r="R27" s="140">
        <f t="shared" si="83"/>
        <v>818640000</v>
      </c>
      <c r="S27" s="137">
        <f t="shared" si="84"/>
        <v>0</v>
      </c>
      <c r="T27" s="137">
        <f t="shared" si="54"/>
        <v>0</v>
      </c>
      <c r="U27" s="137">
        <f t="shared" si="85"/>
        <v>0</v>
      </c>
      <c r="V27" s="141" t="s">
        <v>215</v>
      </c>
      <c r="W27" s="140">
        <f>+Table2[[#This Row],[Tổng cộng]]-SUM(X27:Z27)</f>
        <v>0</v>
      </c>
      <c r="X27" s="140">
        <v>818640000</v>
      </c>
      <c r="Y27" s="290"/>
      <c r="Z27" s="83"/>
      <c r="AA27" s="83"/>
      <c r="AB27" s="141"/>
      <c r="AC27" s="137"/>
      <c r="AD27" s="298"/>
      <c r="AE27" s="130"/>
      <c r="AF27" s="133"/>
      <c r="AG27" s="130"/>
      <c r="AH27" s="130"/>
      <c r="AI27" s="130"/>
      <c r="AJ27" s="115"/>
      <c r="AK27" s="120"/>
      <c r="AL27" s="130"/>
      <c r="AM27" s="130"/>
      <c r="AN27" s="130"/>
      <c r="AO27" s="130"/>
      <c r="AP27" s="130"/>
      <c r="AQ27" s="130"/>
      <c r="AR27" s="130"/>
      <c r="AS27" s="142"/>
      <c r="AT27" s="86"/>
    </row>
    <row r="28" spans="1:48" s="116" customFormat="1" ht="24.95" customHeight="1" x14ac:dyDescent="0.25">
      <c r="A28" s="130"/>
      <c r="B28" s="131"/>
      <c r="C28" s="130"/>
      <c r="D28" s="302"/>
      <c r="E28" s="114"/>
      <c r="F28" s="132"/>
      <c r="G28" s="114"/>
      <c r="H28" s="131"/>
      <c r="I28" s="119"/>
      <c r="J28" s="133"/>
      <c r="K28" s="134"/>
      <c r="L28" s="135"/>
      <c r="M28" s="136"/>
      <c r="N28" s="137"/>
      <c r="O28" s="138"/>
      <c r="P28" s="139"/>
      <c r="Q28" s="139"/>
      <c r="R28" s="140"/>
      <c r="S28" s="137"/>
      <c r="T28" s="137"/>
      <c r="U28" s="137"/>
      <c r="V28" s="141"/>
      <c r="W28" s="140">
        <f>+Table2[[#This Row],[Tổng cộng]]-SUM(X28:Z28)</f>
        <v>0</v>
      </c>
      <c r="X28" s="140">
        <v>0</v>
      </c>
      <c r="Y28" s="290"/>
      <c r="Z28" s="83"/>
      <c r="AA28" s="83"/>
      <c r="AB28" s="141"/>
      <c r="AC28" s="137"/>
      <c r="AD28" s="298"/>
      <c r="AE28" s="130"/>
      <c r="AF28" s="133"/>
      <c r="AG28" s="130"/>
      <c r="AH28" s="130"/>
      <c r="AI28" s="130"/>
      <c r="AJ28" s="115"/>
      <c r="AK28" s="120"/>
      <c r="AL28" s="130"/>
      <c r="AM28" s="130"/>
      <c r="AN28" s="130"/>
      <c r="AO28" s="130"/>
      <c r="AP28" s="130"/>
      <c r="AQ28" s="130"/>
      <c r="AR28" s="130"/>
      <c r="AS28" s="142"/>
      <c r="AT28" s="86"/>
    </row>
    <row r="29" spans="1:48" s="116" customFormat="1" ht="24.95" customHeight="1" x14ac:dyDescent="0.25">
      <c r="A29" s="130"/>
      <c r="B29" s="131"/>
      <c r="C29" s="130"/>
      <c r="D29" s="130"/>
      <c r="E29" s="114"/>
      <c r="F29" s="132"/>
      <c r="G29" s="114"/>
      <c r="H29" s="131"/>
      <c r="I29" s="119"/>
      <c r="J29" s="133"/>
      <c r="K29" s="134"/>
      <c r="L29" s="135"/>
      <c r="M29" s="136"/>
      <c r="N29" s="137"/>
      <c r="O29" s="138"/>
      <c r="P29" s="139"/>
      <c r="Q29" s="139"/>
      <c r="R29" s="140"/>
      <c r="S29" s="137"/>
      <c r="T29" s="137"/>
      <c r="U29" s="137"/>
      <c r="V29" s="141"/>
      <c r="W29" s="140">
        <f>+Table2[[#This Row],[Tổng cộng]]-SUM(X29:Z29)</f>
        <v>0</v>
      </c>
      <c r="X29" s="140">
        <v>0</v>
      </c>
      <c r="Y29" s="290"/>
      <c r="Z29" s="83"/>
      <c r="AA29" s="83"/>
      <c r="AB29" s="141"/>
      <c r="AC29" s="137"/>
      <c r="AD29" s="137"/>
      <c r="AE29" s="130"/>
      <c r="AF29" s="133"/>
      <c r="AG29" s="130"/>
      <c r="AH29" s="130"/>
      <c r="AI29" s="130"/>
      <c r="AJ29" s="130"/>
      <c r="AK29" s="120"/>
      <c r="AL29" s="130"/>
      <c r="AM29" s="130"/>
      <c r="AN29" s="130"/>
      <c r="AO29" s="130"/>
      <c r="AP29" s="130"/>
      <c r="AQ29" s="130"/>
      <c r="AR29" s="130"/>
      <c r="AS29" s="142"/>
      <c r="AT29" s="86">
        <f t="shared" si="51"/>
        <v>0</v>
      </c>
      <c r="AU29" s="116">
        <f t="shared" ref="AU29:AU37" si="87">+G29-E29</f>
        <v>0</v>
      </c>
    </row>
    <row r="30" spans="1:48" s="148" customFormat="1" ht="24.95" customHeight="1" x14ac:dyDescent="0.25">
      <c r="A30" s="149">
        <v>12026</v>
      </c>
      <c r="B30" s="150" t="s">
        <v>11</v>
      </c>
      <c r="C30" s="149" t="s">
        <v>98</v>
      </c>
      <c r="D30" s="149" t="s">
        <v>197</v>
      </c>
      <c r="E30" s="244">
        <v>46022</v>
      </c>
      <c r="F30" s="151" t="s">
        <v>24</v>
      </c>
      <c r="G30" s="282">
        <v>46028</v>
      </c>
      <c r="H30" s="149" t="s">
        <v>35</v>
      </c>
      <c r="I30" s="152">
        <v>4814</v>
      </c>
      <c r="J30" s="153">
        <v>183000</v>
      </c>
      <c r="K30" s="154">
        <f t="shared" ref="K30" si="88">I30*J30</f>
        <v>880962000</v>
      </c>
      <c r="L30" s="155">
        <v>3</v>
      </c>
      <c r="M30" s="269" t="s">
        <v>198</v>
      </c>
      <c r="N30" s="156">
        <v>10000</v>
      </c>
      <c r="O30" s="157">
        <f t="shared" ref="O30" si="89">+(J30+N30)/1.08</f>
        <v>178703.70370370368</v>
      </c>
      <c r="P30" s="158">
        <f>I30*O30</f>
        <v>860279629.62962949</v>
      </c>
      <c r="Q30" s="158">
        <f t="shared" ref="Q30" si="90">P30*0.08</f>
        <v>68822370.370370358</v>
      </c>
      <c r="R30" s="159">
        <f>(+P30+Q30)</f>
        <v>929101999.99999988</v>
      </c>
      <c r="S30" s="156">
        <f t="shared" ref="S30" si="91">R30-K30</f>
        <v>48139999.999999881</v>
      </c>
      <c r="T30" s="144">
        <f>S30/1.08*28%</f>
        <v>12480740.740740711</v>
      </c>
      <c r="U30" s="144">
        <f t="shared" ref="U30" si="92">S30-T30</f>
        <v>35659259.259259172</v>
      </c>
      <c r="V30" s="146" t="s">
        <v>62</v>
      </c>
      <c r="W30" s="145">
        <f>+Table2[[#This Row],[Tổng cộng]]-SUM(X30:Z30)</f>
        <v>0</v>
      </c>
      <c r="X30" s="145">
        <v>929101999.99999988</v>
      </c>
      <c r="Y30" s="321"/>
      <c r="Z30" s="83"/>
      <c r="AA30" s="83"/>
      <c r="AB30" s="146"/>
      <c r="AC30" s="156">
        <v>44773738</v>
      </c>
      <c r="AD30" s="156">
        <v>35337690</v>
      </c>
      <c r="AE30" s="153"/>
      <c r="AF30" s="153">
        <v>4340000</v>
      </c>
      <c r="AG30" s="149"/>
      <c r="AH30" s="149"/>
      <c r="AI30" s="149"/>
      <c r="AJ30" s="143">
        <v>7425000</v>
      </c>
      <c r="AK30" s="143">
        <v>377484800</v>
      </c>
      <c r="AL30" s="149" t="str">
        <f t="shared" ref="AL30:AL31" si="93">+IF($V30="Cty Hoàng Long",$K30, "")</f>
        <v/>
      </c>
      <c r="AM30" s="160">
        <v>255338967</v>
      </c>
      <c r="AN30" s="143">
        <f t="shared" ref="AN30:AN37" si="94">+K30*0.08</f>
        <v>70476960</v>
      </c>
      <c r="AO30" s="147">
        <v>11511042</v>
      </c>
      <c r="AP30" s="160">
        <v>44994000</v>
      </c>
      <c r="AQ30" s="160">
        <v>79100000</v>
      </c>
      <c r="AR30" s="160">
        <v>4855000</v>
      </c>
      <c r="AS30" s="161" t="str">
        <f t="shared" ref="AS30:AS31" si="95">+IF($V30="Cty Việt Anh",$K30, "")</f>
        <v/>
      </c>
      <c r="AT30" s="86">
        <f t="shared" si="51"/>
        <v>935637197</v>
      </c>
      <c r="AU30" s="116">
        <f t="shared" si="87"/>
        <v>6</v>
      </c>
      <c r="AV30" s="148" t="str">
        <f t="shared" ref="AV30:AV31" si="96">+IF($V30="Cty Hằng Phát",$K30, "")</f>
        <v/>
      </c>
    </row>
    <row r="31" spans="1:48" s="148" customFormat="1" ht="24.95" customHeight="1" x14ac:dyDescent="0.25">
      <c r="A31" s="149">
        <v>12026</v>
      </c>
      <c r="B31" s="150" t="s">
        <v>11</v>
      </c>
      <c r="C31" s="149" t="s">
        <v>158</v>
      </c>
      <c r="D31" s="149" t="s">
        <v>37</v>
      </c>
      <c r="E31" s="244">
        <f>+G30+1</f>
        <v>46029</v>
      </c>
      <c r="F31" s="151" t="s">
        <v>36</v>
      </c>
      <c r="G31" s="283">
        <v>46041</v>
      </c>
      <c r="H31" s="149" t="s">
        <v>39</v>
      </c>
      <c r="I31" s="152">
        <v>4619.2299999999996</v>
      </c>
      <c r="J31" s="153">
        <v>125000</v>
      </c>
      <c r="K31" s="154">
        <f t="shared" ref="K31:K37" si="97">I31*J31</f>
        <v>577403750</v>
      </c>
      <c r="L31" s="155">
        <v>8</v>
      </c>
      <c r="M31" s="269" t="s">
        <v>212</v>
      </c>
      <c r="N31" s="156">
        <v>8585.2945187834339</v>
      </c>
      <c r="O31" s="157">
        <f t="shared" ref="O31:O39" si="98">+(J31+N31)/1.08</f>
        <v>123690.08751739205</v>
      </c>
      <c r="P31" s="158">
        <f t="shared" ref="P31:P39" si="99">I31*O31</f>
        <v>571352962.96296287</v>
      </c>
      <c r="Q31" s="158">
        <f t="shared" ref="Q31:Q39" si="100">P31*0.08</f>
        <v>45708237.03703703</v>
      </c>
      <c r="R31" s="159">
        <f t="shared" ref="R31:R39" si="101">(+P31+Q31)</f>
        <v>617061199.99999988</v>
      </c>
      <c r="S31" s="156">
        <f t="shared" ref="S31:S39" si="102">R31-K31</f>
        <v>39657449.999999881</v>
      </c>
      <c r="T31" s="156">
        <f t="shared" ref="T31:T39" si="103">S31/1.08*28%</f>
        <v>10281561.11111108</v>
      </c>
      <c r="U31" s="156">
        <f t="shared" ref="U31:U39" si="104">S31-T31</f>
        <v>29375888.888888799</v>
      </c>
      <c r="V31" s="162" t="s">
        <v>63</v>
      </c>
      <c r="W31" s="159">
        <f>+Table2[[#This Row],[Tổng cộng]]-SUM(X31:Z31)</f>
        <v>0</v>
      </c>
      <c r="X31" s="159">
        <v>617061199.99999988</v>
      </c>
      <c r="Y31" s="296"/>
      <c r="Z31" s="83"/>
      <c r="AA31" s="83"/>
      <c r="AB31" s="162"/>
      <c r="AC31" s="289">
        <v>55058278</v>
      </c>
      <c r="AD31" s="156"/>
      <c r="AE31" s="153">
        <v>4470000</v>
      </c>
      <c r="AF31" s="153">
        <v>19639000</v>
      </c>
      <c r="AG31" s="149"/>
      <c r="AH31" s="149"/>
      <c r="AI31" s="149"/>
      <c r="AJ31" s="143">
        <v>11132000</v>
      </c>
      <c r="AK31" s="143"/>
      <c r="AL31" s="149" t="str">
        <f t="shared" si="93"/>
        <v/>
      </c>
      <c r="AM31" s="160">
        <v>20000000</v>
      </c>
      <c r="AN31" s="143">
        <f t="shared" si="94"/>
        <v>46192300</v>
      </c>
      <c r="AO31" s="160"/>
      <c r="AP31" s="160"/>
      <c r="AQ31" s="160"/>
      <c r="AR31" s="160"/>
      <c r="AS31" s="161" t="str">
        <f t="shared" si="95"/>
        <v/>
      </c>
      <c r="AT31" s="86">
        <f t="shared" si="51"/>
        <v>156491578</v>
      </c>
      <c r="AU31" s="116">
        <f t="shared" si="87"/>
        <v>12</v>
      </c>
      <c r="AV31" s="148" t="str">
        <f t="shared" si="96"/>
        <v/>
      </c>
    </row>
    <row r="32" spans="1:48" s="148" customFormat="1" ht="24.95" customHeight="1" x14ac:dyDescent="0.25">
      <c r="A32" s="149">
        <v>12026</v>
      </c>
      <c r="B32" s="150" t="s">
        <v>11</v>
      </c>
      <c r="C32" s="149" t="s">
        <v>177</v>
      </c>
      <c r="D32" s="149" t="s">
        <v>17</v>
      </c>
      <c r="E32" s="244">
        <f t="shared" ref="E32:E36" si="105">+G31+1</f>
        <v>46042</v>
      </c>
      <c r="F32" s="151" t="s">
        <v>24</v>
      </c>
      <c r="G32" s="283">
        <v>46056</v>
      </c>
      <c r="H32" s="149" t="s">
        <v>35</v>
      </c>
      <c r="I32" s="152">
        <v>4810</v>
      </c>
      <c r="J32" s="153">
        <v>193000</v>
      </c>
      <c r="K32" s="154">
        <f t="shared" si="97"/>
        <v>928330000</v>
      </c>
      <c r="L32" s="155">
        <v>12</v>
      </c>
      <c r="M32" s="269"/>
      <c r="N32" s="156">
        <v>10000</v>
      </c>
      <c r="O32" s="157">
        <f t="shared" si="98"/>
        <v>187962.96296296295</v>
      </c>
      <c r="P32" s="158">
        <f t="shared" si="99"/>
        <v>904101851.85185182</v>
      </c>
      <c r="Q32" s="158">
        <f t="shared" si="100"/>
        <v>72328148.148148149</v>
      </c>
      <c r="R32" s="159">
        <f t="shared" si="101"/>
        <v>976430000</v>
      </c>
      <c r="S32" s="156">
        <f t="shared" si="102"/>
        <v>48100000</v>
      </c>
      <c r="T32" s="156">
        <f t="shared" si="103"/>
        <v>12470370.370370371</v>
      </c>
      <c r="U32" s="156">
        <f t="shared" si="104"/>
        <v>35629629.629629627</v>
      </c>
      <c r="V32" s="146" t="s">
        <v>62</v>
      </c>
      <c r="W32" s="145">
        <f>+Table2[[#This Row],[Tổng cộng]]-SUM(X32:Z32)</f>
        <v>0</v>
      </c>
      <c r="X32" s="145">
        <v>976430000</v>
      </c>
      <c r="Y32" s="321"/>
      <c r="Z32" s="83"/>
      <c r="AA32" s="83"/>
      <c r="AB32" s="146"/>
      <c r="AC32" s="156">
        <v>44454445</v>
      </c>
      <c r="AD32" s="156">
        <v>38432391</v>
      </c>
      <c r="AE32" s="153">
        <v>2800000</v>
      </c>
      <c r="AF32" s="153">
        <v>2490000</v>
      </c>
      <c r="AG32" s="149"/>
      <c r="AH32" s="149"/>
      <c r="AI32" s="149"/>
      <c r="AJ32" s="143">
        <v>7425000</v>
      </c>
      <c r="AK32" s="143"/>
      <c r="AL32" s="149"/>
      <c r="AM32" s="160">
        <v>45800000</v>
      </c>
      <c r="AN32" s="143">
        <f t="shared" si="94"/>
        <v>74266400</v>
      </c>
      <c r="AO32" s="160"/>
      <c r="AP32" s="160"/>
      <c r="AQ32" s="160"/>
      <c r="AR32" s="160"/>
      <c r="AS32" s="161"/>
      <c r="AT32" s="86">
        <f t="shared" si="51"/>
        <v>215668236</v>
      </c>
      <c r="AU32" s="116">
        <f t="shared" si="87"/>
        <v>14</v>
      </c>
    </row>
    <row r="33" spans="1:48" s="148" customFormat="1" ht="24.95" customHeight="1" x14ac:dyDescent="0.25">
      <c r="A33" s="149">
        <v>22026</v>
      </c>
      <c r="B33" s="150" t="s">
        <v>11</v>
      </c>
      <c r="C33" s="149" t="s">
        <v>178</v>
      </c>
      <c r="D33" s="149" t="s">
        <v>179</v>
      </c>
      <c r="E33" s="244">
        <f t="shared" si="105"/>
        <v>46057</v>
      </c>
      <c r="F33" s="151" t="s">
        <v>36</v>
      </c>
      <c r="G33" s="283">
        <v>46076</v>
      </c>
      <c r="H33" s="149" t="s">
        <v>30</v>
      </c>
      <c r="I33" s="152">
        <v>4657.68</v>
      </c>
      <c r="J33" s="153">
        <v>145000</v>
      </c>
      <c r="K33" s="154">
        <f t="shared" si="97"/>
        <v>675363600</v>
      </c>
      <c r="L33" s="155">
        <v>18</v>
      </c>
      <c r="M33" s="269"/>
      <c r="N33" s="156"/>
      <c r="O33" s="157">
        <f t="shared" si="98"/>
        <v>134259.25925925924</v>
      </c>
      <c r="P33" s="158">
        <f t="shared" si="99"/>
        <v>625336666.66666663</v>
      </c>
      <c r="Q33" s="158">
        <f t="shared" si="100"/>
        <v>50026933.333333328</v>
      </c>
      <c r="R33" s="159">
        <f t="shared" si="101"/>
        <v>675363600</v>
      </c>
      <c r="S33" s="156">
        <f t="shared" si="102"/>
        <v>0</v>
      </c>
      <c r="T33" s="156">
        <f t="shared" si="103"/>
        <v>0</v>
      </c>
      <c r="U33" s="156">
        <f t="shared" si="104"/>
        <v>0</v>
      </c>
      <c r="V33" s="162" t="s">
        <v>157</v>
      </c>
      <c r="W33" s="159">
        <f>+Table2[[#This Row],[Tổng cộng]]-SUM(X33:Z33)</f>
        <v>0</v>
      </c>
      <c r="X33" s="159">
        <v>675363600</v>
      </c>
      <c r="Y33" s="296"/>
      <c r="Z33" s="83"/>
      <c r="AA33" s="83"/>
      <c r="AB33" s="162"/>
      <c r="AC33" s="158">
        <v>56147548</v>
      </c>
      <c r="AD33" s="296">
        <v>27619385</v>
      </c>
      <c r="AE33" s="153">
        <v>11195000</v>
      </c>
      <c r="AF33" s="153">
        <f>11375000+6820000</f>
        <v>18195000</v>
      </c>
      <c r="AG33" s="149"/>
      <c r="AH33" s="149"/>
      <c r="AI33" s="149"/>
      <c r="AJ33" s="143">
        <v>11000000</v>
      </c>
      <c r="AK33" s="143">
        <v>563635700</v>
      </c>
      <c r="AL33" s="149"/>
      <c r="AM33" s="160">
        <v>255338967</v>
      </c>
      <c r="AN33" s="143">
        <f t="shared" si="94"/>
        <v>54029088</v>
      </c>
      <c r="AO33" s="147">
        <v>11511042</v>
      </c>
      <c r="AP33" s="160">
        <v>40320000</v>
      </c>
      <c r="AQ33" s="160"/>
      <c r="AR33" s="160"/>
      <c r="AS33" s="161"/>
      <c r="AT33" s="86">
        <f t="shared" si="51"/>
        <v>1048991730</v>
      </c>
      <c r="AU33" s="116">
        <f t="shared" si="87"/>
        <v>19</v>
      </c>
    </row>
    <row r="34" spans="1:48" s="148" customFormat="1" ht="24.95" customHeight="1" x14ac:dyDescent="0.25">
      <c r="A34" s="149">
        <v>22026</v>
      </c>
      <c r="B34" s="150" t="s">
        <v>11</v>
      </c>
      <c r="C34" s="149" t="s">
        <v>222</v>
      </c>
      <c r="D34" s="149" t="s">
        <v>17</v>
      </c>
      <c r="E34" s="244">
        <f t="shared" si="105"/>
        <v>46077</v>
      </c>
      <c r="F34" s="151" t="s">
        <v>24</v>
      </c>
      <c r="G34" s="283">
        <v>46088</v>
      </c>
      <c r="H34" s="149" t="s">
        <v>16</v>
      </c>
      <c r="I34" s="152">
        <v>4796</v>
      </c>
      <c r="J34" s="153">
        <v>193000</v>
      </c>
      <c r="K34" s="154">
        <f t="shared" si="97"/>
        <v>925628000</v>
      </c>
      <c r="L34" s="155">
        <v>23</v>
      </c>
      <c r="M34" s="269"/>
      <c r="N34" s="156"/>
      <c r="O34" s="157">
        <f t="shared" si="98"/>
        <v>178703.70370370368</v>
      </c>
      <c r="P34" s="158">
        <f t="shared" si="99"/>
        <v>857062962.96296287</v>
      </c>
      <c r="Q34" s="158">
        <f t="shared" si="100"/>
        <v>68565037.03703703</v>
      </c>
      <c r="R34" s="159">
        <f t="shared" si="101"/>
        <v>925627999.99999988</v>
      </c>
      <c r="S34" s="156">
        <f t="shared" si="102"/>
        <v>0</v>
      </c>
      <c r="T34" s="156">
        <f t="shared" si="103"/>
        <v>0</v>
      </c>
      <c r="U34" s="156">
        <f t="shared" si="104"/>
        <v>0</v>
      </c>
      <c r="V34" s="162" t="s">
        <v>62</v>
      </c>
      <c r="W34" s="159">
        <f>+Table2[[#This Row],[Tổng cộng]]-SUM(X34:Z34)</f>
        <v>0</v>
      </c>
      <c r="X34" s="159">
        <v>925627999.99999988</v>
      </c>
      <c r="Y34" s="296"/>
      <c r="Z34" s="83"/>
      <c r="AA34" s="83"/>
      <c r="AB34" s="162"/>
      <c r="AC34" s="158">
        <f>11979485+42947980</f>
        <v>54927465</v>
      </c>
      <c r="AD34" s="296">
        <v>35108518</v>
      </c>
      <c r="AE34" s="153">
        <v>1800000</v>
      </c>
      <c r="AF34" s="153"/>
      <c r="AG34" s="149"/>
      <c r="AH34" s="149"/>
      <c r="AI34" s="149"/>
      <c r="AJ34" s="143"/>
      <c r="AK34" s="143"/>
      <c r="AL34" s="149"/>
      <c r="AM34" s="160"/>
      <c r="AN34" s="143">
        <f t="shared" si="94"/>
        <v>74050240</v>
      </c>
      <c r="AO34" s="160"/>
      <c r="AP34" s="160"/>
      <c r="AQ34" s="160"/>
      <c r="AR34" s="160"/>
      <c r="AS34" s="161"/>
      <c r="AT34" s="86">
        <f t="shared" si="51"/>
        <v>165886223</v>
      </c>
      <c r="AU34" s="116">
        <f t="shared" si="87"/>
        <v>11</v>
      </c>
    </row>
    <row r="35" spans="1:48" s="148" customFormat="1" ht="24.95" customHeight="1" x14ac:dyDescent="0.25">
      <c r="A35" s="149">
        <v>32026</v>
      </c>
      <c r="B35" s="150" t="s">
        <v>11</v>
      </c>
      <c r="C35" s="149" t="s">
        <v>232</v>
      </c>
      <c r="D35" s="149" t="s">
        <v>37</v>
      </c>
      <c r="E35" s="244">
        <f t="shared" si="105"/>
        <v>46089</v>
      </c>
      <c r="F35" s="151" t="s">
        <v>36</v>
      </c>
      <c r="G35" s="283">
        <v>46101</v>
      </c>
      <c r="H35" s="149" t="s">
        <v>39</v>
      </c>
      <c r="I35" s="152">
        <v>4685.92</v>
      </c>
      <c r="J35" s="153">
        <v>120000</v>
      </c>
      <c r="K35" s="154">
        <f t="shared" si="97"/>
        <v>562310400</v>
      </c>
      <c r="L35" s="155">
        <v>27</v>
      </c>
      <c r="M35" s="269"/>
      <c r="N35" s="156">
        <v>20000</v>
      </c>
      <c r="O35" s="157">
        <f t="shared" si="98"/>
        <v>129629.62962962962</v>
      </c>
      <c r="P35" s="158">
        <f t="shared" si="99"/>
        <v>607434074.07407403</v>
      </c>
      <c r="Q35" s="158">
        <f t="shared" si="100"/>
        <v>48594725.925925925</v>
      </c>
      <c r="R35" s="159">
        <f t="shared" si="101"/>
        <v>656028800</v>
      </c>
      <c r="S35" s="156">
        <f t="shared" si="102"/>
        <v>93718400</v>
      </c>
      <c r="T35" s="156">
        <f t="shared" si="103"/>
        <v>24297362.962962963</v>
      </c>
      <c r="U35" s="156">
        <f t="shared" si="104"/>
        <v>69421037.037037045</v>
      </c>
      <c r="V35" s="162" t="s">
        <v>63</v>
      </c>
      <c r="W35" s="159">
        <f>+Table2[[#This Row],[Tổng cộng]]-SUM(X35:Z35)</f>
        <v>0</v>
      </c>
      <c r="X35" s="159">
        <v>656028800</v>
      </c>
      <c r="Y35" s="296"/>
      <c r="Z35" s="83"/>
      <c r="AA35" s="83"/>
      <c r="AB35" s="162"/>
      <c r="AC35" s="158">
        <v>54802633</v>
      </c>
      <c r="AD35" s="156"/>
      <c r="AE35" s="149"/>
      <c r="AF35" s="153"/>
      <c r="AG35" s="149"/>
      <c r="AH35" s="149"/>
      <c r="AI35" s="149"/>
      <c r="AJ35" s="149"/>
      <c r="AK35" s="143"/>
      <c r="AL35" s="149"/>
      <c r="AM35" s="160"/>
      <c r="AN35" s="143">
        <f t="shared" si="94"/>
        <v>44984832</v>
      </c>
      <c r="AO35" s="160"/>
      <c r="AP35" s="160"/>
      <c r="AQ35" s="160"/>
      <c r="AR35" s="160"/>
      <c r="AS35" s="161"/>
      <c r="AT35" s="86">
        <f t="shared" si="51"/>
        <v>99787465</v>
      </c>
      <c r="AU35" s="116">
        <f t="shared" si="87"/>
        <v>12</v>
      </c>
    </row>
    <row r="36" spans="1:48" s="148" customFormat="1" ht="24.95" customHeight="1" x14ac:dyDescent="0.25">
      <c r="A36" s="149">
        <v>32026</v>
      </c>
      <c r="B36" s="150" t="s">
        <v>11</v>
      </c>
      <c r="C36" s="149" t="s">
        <v>246</v>
      </c>
      <c r="D36" s="149" t="s">
        <v>248</v>
      </c>
      <c r="E36" s="244">
        <f t="shared" si="105"/>
        <v>46102</v>
      </c>
      <c r="F36" s="151" t="s">
        <v>14</v>
      </c>
      <c r="G36" s="283">
        <v>46113</v>
      </c>
      <c r="H36" s="149" t="s">
        <v>35</v>
      </c>
      <c r="I36" s="152">
        <v>4750.84</v>
      </c>
      <c r="J36" s="153">
        <v>235000</v>
      </c>
      <c r="K36" s="154">
        <f t="shared" si="97"/>
        <v>1116447400</v>
      </c>
      <c r="L36" s="155">
        <v>34</v>
      </c>
      <c r="M36" s="269"/>
      <c r="N36" s="156"/>
      <c r="O36" s="157">
        <f t="shared" si="98"/>
        <v>217592.59259259258</v>
      </c>
      <c r="P36" s="158">
        <f t="shared" si="99"/>
        <v>1033747592.5925926</v>
      </c>
      <c r="Q36" s="158">
        <f t="shared" si="100"/>
        <v>82699807.407407403</v>
      </c>
      <c r="R36" s="159">
        <f t="shared" si="101"/>
        <v>1116447400</v>
      </c>
      <c r="S36" s="156">
        <f t="shared" si="102"/>
        <v>0</v>
      </c>
      <c r="T36" s="156">
        <f t="shared" si="103"/>
        <v>0</v>
      </c>
      <c r="U36" s="156">
        <f t="shared" si="104"/>
        <v>0</v>
      </c>
      <c r="V36" s="162" t="s">
        <v>62</v>
      </c>
      <c r="W36" s="159">
        <f>+Table2[[#This Row],[Tổng cộng]]-SUM(X36:Z36)</f>
        <v>0</v>
      </c>
      <c r="X36" s="159">
        <v>1116447400</v>
      </c>
      <c r="Y36" s="296"/>
      <c r="Z36" s="83"/>
      <c r="AA36" s="83"/>
      <c r="AB36" s="162"/>
      <c r="AC36" s="153"/>
      <c r="AD36" s="301">
        <v>37347457</v>
      </c>
      <c r="AE36" s="149"/>
      <c r="AF36" s="153"/>
      <c r="AG36" s="149"/>
      <c r="AH36" s="149"/>
      <c r="AI36" s="149"/>
      <c r="AJ36" s="149"/>
      <c r="AK36" s="143"/>
      <c r="AL36" s="149"/>
      <c r="AM36" s="160"/>
      <c r="AN36" s="149">
        <f t="shared" si="94"/>
        <v>89315792</v>
      </c>
      <c r="AO36" s="160"/>
      <c r="AP36" s="160"/>
      <c r="AQ36" s="160"/>
      <c r="AR36" s="160"/>
      <c r="AS36" s="161"/>
      <c r="AT36" s="86">
        <f t="shared" si="51"/>
        <v>126663249</v>
      </c>
      <c r="AU36" s="116">
        <f t="shared" si="87"/>
        <v>11</v>
      </c>
    </row>
    <row r="37" spans="1:48" s="148" customFormat="1" ht="24.95" customHeight="1" x14ac:dyDescent="0.25">
      <c r="A37" s="149">
        <v>42026</v>
      </c>
      <c r="B37" s="150" t="s">
        <v>11</v>
      </c>
      <c r="C37" s="149" t="s">
        <v>250</v>
      </c>
      <c r="D37" s="149" t="s">
        <v>37</v>
      </c>
      <c r="E37" s="244">
        <f>+G36+1</f>
        <v>46114</v>
      </c>
      <c r="F37" s="151" t="s">
        <v>36</v>
      </c>
      <c r="G37" s="283">
        <v>46123</v>
      </c>
      <c r="H37" s="149" t="s">
        <v>39</v>
      </c>
      <c r="I37" s="152">
        <v>4683.28</v>
      </c>
      <c r="J37" s="153">
        <v>145000</v>
      </c>
      <c r="K37" s="154">
        <f t="shared" si="97"/>
        <v>679075600</v>
      </c>
      <c r="L37" s="155">
        <v>40</v>
      </c>
      <c r="M37" s="269"/>
      <c r="N37" s="156"/>
      <c r="O37" s="157">
        <f t="shared" si="98"/>
        <v>134259.25925925924</v>
      </c>
      <c r="P37" s="158">
        <f t="shared" si="99"/>
        <v>628773703.70370364</v>
      </c>
      <c r="Q37" s="158">
        <f t="shared" si="100"/>
        <v>50301896.296296291</v>
      </c>
      <c r="R37" s="159">
        <f t="shared" si="101"/>
        <v>679075599.99999988</v>
      </c>
      <c r="S37" s="156">
        <f t="shared" si="102"/>
        <v>0</v>
      </c>
      <c r="T37" s="156">
        <f t="shared" si="103"/>
        <v>0</v>
      </c>
      <c r="U37" s="156">
        <f t="shared" si="104"/>
        <v>0</v>
      </c>
      <c r="V37" s="162" t="s">
        <v>63</v>
      </c>
      <c r="W37" s="159">
        <f>+Table2[[#This Row],[Tổng cộng]]-SUM(X37:Z37)</f>
        <v>679075599.99999988</v>
      </c>
      <c r="X37" s="159"/>
      <c r="Y37" s="296"/>
      <c r="Z37" s="83"/>
      <c r="AA37" s="83"/>
      <c r="AB37" s="162"/>
      <c r="AC37" s="301">
        <v>54487716</v>
      </c>
      <c r="AD37" s="301"/>
      <c r="AE37" s="149"/>
      <c r="AF37" s="153"/>
      <c r="AG37" s="149"/>
      <c r="AH37" s="149"/>
      <c r="AI37" s="149"/>
      <c r="AJ37" s="149"/>
      <c r="AK37" s="143"/>
      <c r="AL37" s="149"/>
      <c r="AM37" s="160"/>
      <c r="AN37" s="149">
        <f t="shared" si="94"/>
        <v>54326048</v>
      </c>
      <c r="AO37" s="160"/>
      <c r="AP37" s="160"/>
      <c r="AQ37" s="160"/>
      <c r="AR37" s="160"/>
      <c r="AS37" s="161"/>
      <c r="AT37" s="86"/>
      <c r="AU37" s="116">
        <f t="shared" si="87"/>
        <v>9</v>
      </c>
    </row>
    <row r="38" spans="1:48" s="148" customFormat="1" ht="24.95" customHeight="1" x14ac:dyDescent="0.25">
      <c r="A38" s="149">
        <v>42026</v>
      </c>
      <c r="B38" s="150" t="s">
        <v>11</v>
      </c>
      <c r="C38" s="149" t="s">
        <v>258</v>
      </c>
      <c r="D38" s="149" t="s">
        <v>17</v>
      </c>
      <c r="E38" s="244">
        <f>+G37+1</f>
        <v>46124</v>
      </c>
      <c r="F38" s="151" t="s">
        <v>24</v>
      </c>
      <c r="G38" s="283">
        <v>46134</v>
      </c>
      <c r="H38" s="149" t="s">
        <v>35</v>
      </c>
      <c r="I38" s="152">
        <v>4795</v>
      </c>
      <c r="J38" s="153">
        <v>253000</v>
      </c>
      <c r="K38" s="154">
        <f t="shared" ref="K38" si="106">I38*J38</f>
        <v>1213135000</v>
      </c>
      <c r="L38" s="155">
        <v>44</v>
      </c>
      <c r="M38" s="269"/>
      <c r="N38" s="156"/>
      <c r="O38" s="157">
        <f t="shared" si="98"/>
        <v>234259.25925925924</v>
      </c>
      <c r="P38" s="158">
        <f t="shared" si="99"/>
        <v>1123273148.1481481</v>
      </c>
      <c r="Q38" s="158">
        <f t="shared" si="100"/>
        <v>89861851.851851851</v>
      </c>
      <c r="R38" s="159">
        <f t="shared" si="101"/>
        <v>1213135000</v>
      </c>
      <c r="S38" s="156">
        <f t="shared" si="102"/>
        <v>0</v>
      </c>
      <c r="T38" s="156">
        <f t="shared" si="103"/>
        <v>0</v>
      </c>
      <c r="U38" s="156">
        <f t="shared" si="104"/>
        <v>0</v>
      </c>
      <c r="V38" s="162" t="s">
        <v>62</v>
      </c>
      <c r="W38" s="159">
        <f>+Table2[[#This Row],[Tổng cộng]]-SUM(X38:Z38)</f>
        <v>1213135000</v>
      </c>
      <c r="X38" s="159"/>
      <c r="Y38" s="296"/>
      <c r="Z38" s="83"/>
      <c r="AA38" s="83"/>
      <c r="AB38" s="162"/>
      <c r="AC38" s="301"/>
      <c r="AD38" s="301"/>
      <c r="AE38" s="149"/>
      <c r="AF38" s="153"/>
      <c r="AG38" s="149"/>
      <c r="AH38" s="149"/>
      <c r="AI38" s="149"/>
      <c r="AJ38" s="149"/>
      <c r="AK38" s="143"/>
      <c r="AL38" s="149"/>
      <c r="AM38" s="160"/>
      <c r="AN38" s="149"/>
      <c r="AO38" s="160"/>
      <c r="AP38" s="160"/>
      <c r="AQ38" s="160"/>
      <c r="AR38" s="160"/>
      <c r="AS38" s="161"/>
      <c r="AT38" s="86"/>
      <c r="AU38" s="116"/>
    </row>
    <row r="39" spans="1:48" s="148" customFormat="1" ht="24.95" customHeight="1" x14ac:dyDescent="0.25">
      <c r="A39" s="149">
        <v>42026</v>
      </c>
      <c r="B39" s="150" t="s">
        <v>11</v>
      </c>
      <c r="C39" s="149" t="s">
        <v>264</v>
      </c>
      <c r="D39" s="149" t="s">
        <v>37</v>
      </c>
      <c r="E39" s="244">
        <f>+G38+1</f>
        <v>46135</v>
      </c>
      <c r="F39" s="151" t="s">
        <v>36</v>
      </c>
      <c r="G39" s="283">
        <v>46145</v>
      </c>
      <c r="H39" s="149" t="s">
        <v>39</v>
      </c>
      <c r="I39" s="152">
        <v>4713.07</v>
      </c>
      <c r="J39" s="153">
        <v>130000</v>
      </c>
      <c r="K39" s="154">
        <f t="shared" ref="K39" si="107">I39*J39</f>
        <v>612699100</v>
      </c>
      <c r="L39" s="155">
        <v>49</v>
      </c>
      <c r="M39" s="269"/>
      <c r="N39" s="156"/>
      <c r="O39" s="157">
        <f t="shared" si="98"/>
        <v>120370.37037037036</v>
      </c>
      <c r="P39" s="158">
        <f t="shared" si="99"/>
        <v>567313981.48148143</v>
      </c>
      <c r="Q39" s="158">
        <f t="shared" si="100"/>
        <v>45385118.518518515</v>
      </c>
      <c r="R39" s="159">
        <f t="shared" si="101"/>
        <v>612699100</v>
      </c>
      <c r="S39" s="156">
        <f t="shared" si="102"/>
        <v>0</v>
      </c>
      <c r="T39" s="156">
        <f t="shared" si="103"/>
        <v>0</v>
      </c>
      <c r="U39" s="156">
        <f t="shared" si="104"/>
        <v>0</v>
      </c>
      <c r="V39" s="162" t="s">
        <v>63</v>
      </c>
      <c r="W39" s="159">
        <f>+Table2[[#This Row],[Tổng cộng]]-SUM(X39:Z39)</f>
        <v>612699100</v>
      </c>
      <c r="X39" s="159"/>
      <c r="Y39" s="296"/>
      <c r="Z39" s="83"/>
      <c r="AA39" s="83"/>
      <c r="AB39" s="162"/>
      <c r="AC39" s="301"/>
      <c r="AD39" s="301"/>
      <c r="AE39" s="149"/>
      <c r="AF39" s="153"/>
      <c r="AG39" s="149"/>
      <c r="AH39" s="149"/>
      <c r="AI39" s="149"/>
      <c r="AJ39" s="149"/>
      <c r="AK39" s="143"/>
      <c r="AL39" s="149"/>
      <c r="AM39" s="160"/>
      <c r="AN39" s="149"/>
      <c r="AO39" s="160"/>
      <c r="AP39" s="160"/>
      <c r="AQ39" s="160"/>
      <c r="AR39" s="160"/>
      <c r="AS39" s="161"/>
      <c r="AT39" s="86"/>
      <c r="AU39" s="116"/>
    </row>
    <row r="40" spans="1:48" s="148" customFormat="1" ht="24.95" customHeight="1" x14ac:dyDescent="0.25">
      <c r="A40" s="149"/>
      <c r="B40" s="150"/>
      <c r="C40" s="149"/>
      <c r="D40" s="149"/>
      <c r="E40" s="244"/>
      <c r="F40" s="151"/>
      <c r="G40" s="283"/>
      <c r="H40" s="149"/>
      <c r="I40" s="152"/>
      <c r="J40" s="153"/>
      <c r="K40" s="154"/>
      <c r="L40" s="155"/>
      <c r="M40" s="269"/>
      <c r="N40" s="156"/>
      <c r="O40" s="157"/>
      <c r="P40" s="158"/>
      <c r="Q40" s="158"/>
      <c r="R40" s="159"/>
      <c r="S40" s="156"/>
      <c r="T40" s="156"/>
      <c r="U40" s="156"/>
      <c r="V40" s="162"/>
      <c r="W40" s="159">
        <f>+Table2[[#This Row],[Tổng cộng]]-SUM(X40:Z40)</f>
        <v>0</v>
      </c>
      <c r="X40" s="159">
        <v>0</v>
      </c>
      <c r="Y40" s="296"/>
      <c r="Z40" s="83"/>
      <c r="AA40" s="83"/>
      <c r="AB40" s="162"/>
      <c r="AC40" s="153"/>
      <c r="AD40" s="156"/>
      <c r="AE40" s="149"/>
      <c r="AF40" s="153"/>
      <c r="AG40" s="149"/>
      <c r="AH40" s="149"/>
      <c r="AI40" s="149"/>
      <c r="AJ40" s="149"/>
      <c r="AK40" s="143"/>
      <c r="AL40" s="149"/>
      <c r="AM40" s="160"/>
      <c r="AN40" s="149"/>
      <c r="AO40" s="160"/>
      <c r="AP40" s="160"/>
      <c r="AQ40" s="160"/>
      <c r="AR40" s="160"/>
      <c r="AS40" s="161"/>
      <c r="AT40" s="86">
        <f t="shared" si="51"/>
        <v>0</v>
      </c>
      <c r="AU40" s="116">
        <f t="shared" ref="AU40:AU49" si="108">+G40-E40</f>
        <v>0</v>
      </c>
    </row>
    <row r="41" spans="1:48" s="165" customFormat="1" ht="24.95" customHeight="1" x14ac:dyDescent="0.25">
      <c r="A41" s="169">
        <v>12026</v>
      </c>
      <c r="B41" s="170" t="s">
        <v>1</v>
      </c>
      <c r="C41" s="169" t="s">
        <v>98</v>
      </c>
      <c r="D41" s="169" t="s">
        <v>17</v>
      </c>
      <c r="E41" s="249">
        <v>46018</v>
      </c>
      <c r="F41" s="171" t="s">
        <v>24</v>
      </c>
      <c r="G41" s="284">
        <v>46025</v>
      </c>
      <c r="H41" s="169" t="s">
        <v>16</v>
      </c>
      <c r="I41" s="171">
        <v>4769</v>
      </c>
      <c r="J41" s="173">
        <v>173000</v>
      </c>
      <c r="K41" s="167">
        <f t="shared" ref="K41:K49" si="109">I41*J41</f>
        <v>825037000</v>
      </c>
      <c r="L41" s="175">
        <v>1</v>
      </c>
      <c r="M41" s="266" t="s">
        <v>191</v>
      </c>
      <c r="N41" s="168">
        <v>10000</v>
      </c>
      <c r="O41" s="178">
        <f t="shared" ref="O41" si="110">+(J41+N41)/1.08</f>
        <v>169444.44444444444</v>
      </c>
      <c r="P41" s="179">
        <f t="shared" ref="P41" si="111">I41*O41</f>
        <v>808080555.55555558</v>
      </c>
      <c r="Q41" s="179">
        <f t="shared" ref="Q41" si="112">P41*0.08</f>
        <v>64646444.444444448</v>
      </c>
      <c r="R41" s="180">
        <f t="shared" ref="R41" si="113">(+P41+Q41)</f>
        <v>872727000</v>
      </c>
      <c r="S41" s="177">
        <f t="shared" ref="S41" si="114">R41-K41</f>
        <v>47690000</v>
      </c>
      <c r="T41" s="177">
        <f>S41/1.08*28%</f>
        <v>12364074.074074075</v>
      </c>
      <c r="U41" s="177">
        <f t="shared" ref="U41" si="115">S41-T41</f>
        <v>35325925.925925925</v>
      </c>
      <c r="V41" s="181" t="s">
        <v>62</v>
      </c>
      <c r="W41" s="180">
        <f>+Table2[[#This Row],[Tổng cộng]]-SUM(X41:Z41)</f>
        <v>0</v>
      </c>
      <c r="X41" s="180">
        <v>872727000</v>
      </c>
      <c r="Y41" s="322"/>
      <c r="Z41" s="83"/>
      <c r="AA41" s="83"/>
      <c r="AB41" s="181"/>
      <c r="AC41" s="163">
        <v>44661146</v>
      </c>
      <c r="AD41" s="163">
        <v>37013258</v>
      </c>
      <c r="AE41" s="163">
        <v>2800000</v>
      </c>
      <c r="AF41" s="173">
        <v>10360000</v>
      </c>
      <c r="AG41" s="169"/>
      <c r="AH41" s="169"/>
      <c r="AI41" s="169"/>
      <c r="AJ41" s="169">
        <v>5500000</v>
      </c>
      <c r="AK41" s="166">
        <v>505731600</v>
      </c>
      <c r="AL41" s="169"/>
      <c r="AM41" s="182">
        <v>229091500</v>
      </c>
      <c r="AN41" s="166">
        <f t="shared" ref="AN41:AN48" si="116">+K41*0.08</f>
        <v>66002960</v>
      </c>
      <c r="AO41" s="164">
        <v>13653750</v>
      </c>
      <c r="AP41" s="182">
        <v>37220000</v>
      </c>
      <c r="AQ41" s="182">
        <v>32940000</v>
      </c>
      <c r="AR41" s="182"/>
      <c r="AS41" s="183"/>
      <c r="AT41" s="86">
        <f t="shared" si="51"/>
        <v>984974214</v>
      </c>
      <c r="AU41" s="116">
        <f t="shared" si="108"/>
        <v>7</v>
      </c>
      <c r="AV41" s="165">
        <v>14918</v>
      </c>
    </row>
    <row r="42" spans="1:48" s="165" customFormat="1" ht="24.95" customHeight="1" x14ac:dyDescent="0.25">
      <c r="A42" s="169">
        <v>12026</v>
      </c>
      <c r="B42" s="170" t="s">
        <v>1</v>
      </c>
      <c r="C42" s="169" t="s">
        <v>158</v>
      </c>
      <c r="D42" s="169" t="s">
        <v>37</v>
      </c>
      <c r="E42" s="249">
        <f>+G41+1</f>
        <v>46026</v>
      </c>
      <c r="F42" s="171" t="s">
        <v>36</v>
      </c>
      <c r="G42" s="284">
        <v>46035</v>
      </c>
      <c r="H42" s="169" t="s">
        <v>39</v>
      </c>
      <c r="I42" s="171">
        <v>4586.8900000000003</v>
      </c>
      <c r="J42" s="173">
        <v>130000</v>
      </c>
      <c r="K42" s="167">
        <f t="shared" si="109"/>
        <v>596295700</v>
      </c>
      <c r="L42" s="175">
        <v>5</v>
      </c>
      <c r="M42" s="266" t="s">
        <v>206</v>
      </c>
      <c r="N42" s="168">
        <v>2934.5155432111951</v>
      </c>
      <c r="O42" s="178">
        <f t="shared" ref="O42:O49" si="117">+(J42+N42)/1.08</f>
        <v>123087.51439186221</v>
      </c>
      <c r="P42" s="179">
        <f t="shared" ref="P42:P49" si="118">I42*O42</f>
        <v>564588888.88888884</v>
      </c>
      <c r="Q42" s="179">
        <f t="shared" ref="Q42:Q49" si="119">P42*0.08</f>
        <v>45167111.111111104</v>
      </c>
      <c r="R42" s="180">
        <f t="shared" ref="R42:R49" si="120">(+P42+Q42)</f>
        <v>609756000</v>
      </c>
      <c r="S42" s="177">
        <f t="shared" ref="S42:S49" si="121">R42-K42</f>
        <v>13460300</v>
      </c>
      <c r="T42" s="177">
        <f t="shared" ref="T42:T49" si="122">S42/1.08*28%</f>
        <v>3489707.4074074076</v>
      </c>
      <c r="U42" s="177">
        <f t="shared" ref="U42:U49" si="123">S42-T42</f>
        <v>9970592.5925925933</v>
      </c>
      <c r="V42" s="181" t="s">
        <v>63</v>
      </c>
      <c r="W42" s="180">
        <f>+Table2[[#This Row],[Tổng cộng]]-SUM(X42:Z42)</f>
        <v>609756000</v>
      </c>
      <c r="X42" s="180"/>
      <c r="Y42" s="322"/>
      <c r="Z42" s="83"/>
      <c r="AA42" s="83"/>
      <c r="AB42" s="181"/>
      <c r="AC42" s="163">
        <v>68550556</v>
      </c>
      <c r="AD42" s="163"/>
      <c r="AE42" s="163">
        <v>6500000</v>
      </c>
      <c r="AF42" s="173">
        <v>20410000</v>
      </c>
      <c r="AG42" s="169"/>
      <c r="AH42" s="169"/>
      <c r="AI42" s="169"/>
      <c r="AJ42" s="169">
        <v>11000000</v>
      </c>
      <c r="AK42" s="166"/>
      <c r="AL42" s="169"/>
      <c r="AM42" s="182">
        <v>21664000</v>
      </c>
      <c r="AN42" s="166">
        <f t="shared" si="116"/>
        <v>47703656</v>
      </c>
      <c r="AO42" s="182"/>
      <c r="AP42" s="182"/>
      <c r="AQ42" s="182"/>
      <c r="AR42" s="182"/>
      <c r="AS42" s="183"/>
      <c r="AT42" s="86">
        <f t="shared" si="51"/>
        <v>175828212</v>
      </c>
      <c r="AU42" s="116">
        <f t="shared" si="108"/>
        <v>9</v>
      </c>
      <c r="AV42" s="165">
        <v>12960</v>
      </c>
    </row>
    <row r="43" spans="1:48" s="165" customFormat="1" ht="24.95" customHeight="1" x14ac:dyDescent="0.25">
      <c r="A43" s="169">
        <v>12026</v>
      </c>
      <c r="B43" s="170" t="s">
        <v>1</v>
      </c>
      <c r="C43" s="169" t="s">
        <v>177</v>
      </c>
      <c r="D43" s="169" t="s">
        <v>31</v>
      </c>
      <c r="E43" s="249">
        <f t="shared" ref="E43:E47" si="124">+G42+1</f>
        <v>46036</v>
      </c>
      <c r="F43" s="171" t="s">
        <v>15</v>
      </c>
      <c r="G43" s="284">
        <v>46045</v>
      </c>
      <c r="H43" s="169" t="s">
        <v>35</v>
      </c>
      <c r="I43" s="171">
        <v>4765.3</v>
      </c>
      <c r="J43" s="173">
        <v>183000</v>
      </c>
      <c r="K43" s="167">
        <f t="shared" si="109"/>
        <v>872049900</v>
      </c>
      <c r="L43" s="175">
        <v>9</v>
      </c>
      <c r="M43" s="266" t="s">
        <v>214</v>
      </c>
      <c r="N43" s="168">
        <v>0</v>
      </c>
      <c r="O43" s="178">
        <f t="shared" si="117"/>
        <v>169444.44444444444</v>
      </c>
      <c r="P43" s="179">
        <f t="shared" si="118"/>
        <v>807453611.11111116</v>
      </c>
      <c r="Q43" s="179">
        <f t="shared" si="119"/>
        <v>64596288.888888896</v>
      </c>
      <c r="R43" s="180">
        <f t="shared" si="120"/>
        <v>872049900</v>
      </c>
      <c r="S43" s="177">
        <f t="shared" si="121"/>
        <v>0</v>
      </c>
      <c r="T43" s="177">
        <f t="shared" si="122"/>
        <v>0</v>
      </c>
      <c r="U43" s="177">
        <f t="shared" si="123"/>
        <v>0</v>
      </c>
      <c r="V43" s="181" t="s">
        <v>63</v>
      </c>
      <c r="W43" s="180">
        <f>+Table2[[#This Row],[Tổng cộng]]-SUM(X43:Z43)</f>
        <v>872049900</v>
      </c>
      <c r="X43" s="180"/>
      <c r="Y43" s="322"/>
      <c r="Z43" s="83"/>
      <c r="AA43" s="83"/>
      <c r="AB43" s="181"/>
      <c r="AC43" s="163"/>
      <c r="AD43" s="163">
        <v>34226090</v>
      </c>
      <c r="AE43" s="163">
        <f>8450000+17470000</f>
        <v>25920000</v>
      </c>
      <c r="AF43" s="173">
        <v>3600000</v>
      </c>
      <c r="AG43" s="169"/>
      <c r="AH43" s="169"/>
      <c r="AI43" s="169"/>
      <c r="AJ43" s="169">
        <f>770000+2000000</f>
        <v>2770000</v>
      </c>
      <c r="AK43" s="166"/>
      <c r="AL43" s="169"/>
      <c r="AM43" s="182"/>
      <c r="AN43" s="166">
        <f t="shared" si="116"/>
        <v>69763992</v>
      </c>
      <c r="AO43" s="182"/>
      <c r="AP43" s="182"/>
      <c r="AQ43" s="182"/>
      <c r="AR43" s="182"/>
      <c r="AS43" s="183"/>
      <c r="AT43" s="86">
        <f t="shared" si="51"/>
        <v>136280082</v>
      </c>
      <c r="AU43" s="116">
        <f t="shared" si="108"/>
        <v>9</v>
      </c>
      <c r="AV43" s="165">
        <v>13153</v>
      </c>
    </row>
    <row r="44" spans="1:48" s="165" customFormat="1" ht="24.95" customHeight="1" x14ac:dyDescent="0.25">
      <c r="A44" s="169">
        <v>12026</v>
      </c>
      <c r="B44" s="170" t="s">
        <v>1</v>
      </c>
      <c r="C44" s="169" t="s">
        <v>178</v>
      </c>
      <c r="D44" s="169" t="s">
        <v>29</v>
      </c>
      <c r="E44" s="249">
        <f t="shared" si="124"/>
        <v>46046</v>
      </c>
      <c r="F44" s="171" t="s">
        <v>40</v>
      </c>
      <c r="G44" s="284">
        <v>46059</v>
      </c>
      <c r="H44" s="169" t="s">
        <v>38</v>
      </c>
      <c r="I44" s="171">
        <v>1</v>
      </c>
      <c r="J44" s="173">
        <v>320000000</v>
      </c>
      <c r="K44" s="167">
        <f t="shared" si="109"/>
        <v>320000000</v>
      </c>
      <c r="L44" s="175">
        <v>15</v>
      </c>
      <c r="M44" s="266"/>
      <c r="N44" s="168"/>
      <c r="O44" s="178">
        <f t="shared" si="117"/>
        <v>296296296.2962963</v>
      </c>
      <c r="P44" s="179">
        <f t="shared" si="118"/>
        <v>296296296.2962963</v>
      </c>
      <c r="Q44" s="179">
        <f t="shared" si="119"/>
        <v>23703703.703703705</v>
      </c>
      <c r="R44" s="180">
        <f t="shared" si="120"/>
        <v>320000000</v>
      </c>
      <c r="S44" s="177">
        <f t="shared" si="121"/>
        <v>0</v>
      </c>
      <c r="T44" s="177">
        <f t="shared" si="122"/>
        <v>0</v>
      </c>
      <c r="U44" s="177">
        <f t="shared" si="123"/>
        <v>0</v>
      </c>
      <c r="V44" s="181" t="s">
        <v>62</v>
      </c>
      <c r="W44" s="180">
        <f>+Table2[[#This Row],[Tổng cộng]]-SUM(X44:Z44)</f>
        <v>0</v>
      </c>
      <c r="X44" s="180">
        <v>320000000</v>
      </c>
      <c r="Y44" s="322"/>
      <c r="Z44" s="83"/>
      <c r="AA44" s="83"/>
      <c r="AB44" s="181"/>
      <c r="AC44" s="163">
        <v>42729942</v>
      </c>
      <c r="AD44" s="163"/>
      <c r="AE44" s="163">
        <v>5700000</v>
      </c>
      <c r="AF44" s="173">
        <v>24300000</v>
      </c>
      <c r="AG44" s="169"/>
      <c r="AH44" s="169"/>
      <c r="AI44" s="169"/>
      <c r="AJ44" s="169">
        <v>11000000</v>
      </c>
      <c r="AK44" s="166">
        <v>562444690</v>
      </c>
      <c r="AL44" s="169"/>
      <c r="AM44" s="182">
        <v>229091500</v>
      </c>
      <c r="AN44" s="166">
        <f t="shared" si="116"/>
        <v>25600000</v>
      </c>
      <c r="AO44" s="182"/>
      <c r="AP44" s="182"/>
      <c r="AQ44" s="182"/>
      <c r="AR44" s="182"/>
      <c r="AS44" s="183"/>
      <c r="AT44" s="86">
        <f t="shared" si="51"/>
        <v>900866132</v>
      </c>
      <c r="AU44" s="116">
        <f t="shared" si="108"/>
        <v>13</v>
      </c>
      <c r="AV44" s="165">
        <v>15918</v>
      </c>
    </row>
    <row r="45" spans="1:48" s="165" customFormat="1" ht="24.95" customHeight="1" x14ac:dyDescent="0.25">
      <c r="A45" s="169">
        <v>22026</v>
      </c>
      <c r="B45" s="170" t="s">
        <v>1</v>
      </c>
      <c r="C45" s="169" t="s">
        <v>222</v>
      </c>
      <c r="D45" s="169" t="s">
        <v>17</v>
      </c>
      <c r="E45" s="249">
        <f t="shared" si="124"/>
        <v>46060</v>
      </c>
      <c r="F45" s="171" t="s">
        <v>24</v>
      </c>
      <c r="G45" s="284">
        <v>46068</v>
      </c>
      <c r="H45" s="169" t="s">
        <v>35</v>
      </c>
      <c r="I45" s="171">
        <v>4762</v>
      </c>
      <c r="J45" s="173">
        <v>193000</v>
      </c>
      <c r="K45" s="167">
        <f t="shared" si="109"/>
        <v>919066000</v>
      </c>
      <c r="L45" s="175">
        <v>18</v>
      </c>
      <c r="M45" s="266" t="s">
        <v>230</v>
      </c>
      <c r="N45" s="168">
        <v>10000</v>
      </c>
      <c r="O45" s="178">
        <f t="shared" si="117"/>
        <v>187962.96296296295</v>
      </c>
      <c r="P45" s="179">
        <f t="shared" si="118"/>
        <v>895079629.62962961</v>
      </c>
      <c r="Q45" s="179">
        <f t="shared" si="119"/>
        <v>71606370.370370373</v>
      </c>
      <c r="R45" s="180">
        <f t="shared" si="120"/>
        <v>966686000</v>
      </c>
      <c r="S45" s="177">
        <f t="shared" si="121"/>
        <v>47620000</v>
      </c>
      <c r="T45" s="177">
        <f t="shared" si="122"/>
        <v>12345925.925925925</v>
      </c>
      <c r="U45" s="177">
        <f t="shared" si="123"/>
        <v>35274074.074074075</v>
      </c>
      <c r="V45" s="181" t="s">
        <v>62</v>
      </c>
      <c r="W45" s="180">
        <f>+Table2[[#This Row],[Tổng cộng]]-SUM(X45:Z45)</f>
        <v>0</v>
      </c>
      <c r="X45" s="180">
        <v>966686000</v>
      </c>
      <c r="Y45" s="322"/>
      <c r="Z45" s="83"/>
      <c r="AA45" s="83"/>
      <c r="AB45" s="181"/>
      <c r="AC45" s="295">
        <v>44749011</v>
      </c>
      <c r="AD45" s="295">
        <v>41789104</v>
      </c>
      <c r="AE45" s="163">
        <v>4200000</v>
      </c>
      <c r="AF45" s="173">
        <v>8300000</v>
      </c>
      <c r="AG45" s="169"/>
      <c r="AH45" s="169"/>
      <c r="AI45" s="169"/>
      <c r="AJ45" s="169">
        <v>7700000</v>
      </c>
      <c r="AK45" s="166"/>
      <c r="AL45" s="169"/>
      <c r="AM45" s="182">
        <v>21664000</v>
      </c>
      <c r="AN45" s="166">
        <f t="shared" si="116"/>
        <v>73525280</v>
      </c>
      <c r="AO45" s="164">
        <v>13653750</v>
      </c>
      <c r="AP45" s="182">
        <v>59270000</v>
      </c>
      <c r="AQ45" s="182">
        <v>41181000</v>
      </c>
      <c r="AR45" s="182"/>
      <c r="AS45" s="183"/>
      <c r="AT45" s="86">
        <f t="shared" si="51"/>
        <v>316032145</v>
      </c>
      <c r="AU45" s="116">
        <f t="shared" si="108"/>
        <v>8</v>
      </c>
      <c r="AV45" s="165">
        <v>12959</v>
      </c>
    </row>
    <row r="46" spans="1:48" s="165" customFormat="1" ht="24.95" customHeight="1" x14ac:dyDescent="0.25">
      <c r="A46" s="169">
        <v>22026</v>
      </c>
      <c r="B46" s="170" t="s">
        <v>1</v>
      </c>
      <c r="C46" s="169" t="s">
        <v>232</v>
      </c>
      <c r="D46" s="169" t="s">
        <v>233</v>
      </c>
      <c r="E46" s="249">
        <f t="shared" si="124"/>
        <v>46069</v>
      </c>
      <c r="F46" s="171" t="s">
        <v>36</v>
      </c>
      <c r="G46" s="284">
        <v>46086</v>
      </c>
      <c r="H46" s="169" t="s">
        <v>30</v>
      </c>
      <c r="I46" s="171">
        <v>4694.6499999999996</v>
      </c>
      <c r="J46" s="173">
        <v>145000</v>
      </c>
      <c r="K46" s="167">
        <f t="shared" si="109"/>
        <v>680724250</v>
      </c>
      <c r="L46" s="175">
        <v>22</v>
      </c>
      <c r="M46" s="266"/>
      <c r="N46" s="168"/>
      <c r="O46" s="178">
        <f t="shared" si="117"/>
        <v>134259.25925925924</v>
      </c>
      <c r="P46" s="179">
        <f t="shared" si="118"/>
        <v>630300231.48148131</v>
      </c>
      <c r="Q46" s="179">
        <f t="shared" si="119"/>
        <v>50424018.518518507</v>
      </c>
      <c r="R46" s="180">
        <f t="shared" si="120"/>
        <v>680724249.99999976</v>
      </c>
      <c r="S46" s="177">
        <f t="shared" si="121"/>
        <v>0</v>
      </c>
      <c r="T46" s="177">
        <f t="shared" si="122"/>
        <v>0</v>
      </c>
      <c r="U46" s="177">
        <f t="shared" si="123"/>
        <v>0</v>
      </c>
      <c r="V46" s="181" t="s">
        <v>62</v>
      </c>
      <c r="W46" s="180">
        <f>+Table2[[#This Row],[Tổng cộng]]-SUM(X46:Z46)</f>
        <v>0</v>
      </c>
      <c r="X46" s="180">
        <v>680724249.99999976</v>
      </c>
      <c r="Y46" s="322"/>
      <c r="Z46" s="83"/>
      <c r="AA46" s="83"/>
      <c r="AB46" s="181"/>
      <c r="AC46" s="295">
        <v>57467488</v>
      </c>
      <c r="AD46" s="163">
        <v>28954579</v>
      </c>
      <c r="AE46" s="163">
        <v>8400000</v>
      </c>
      <c r="AF46" s="173">
        <v>9800000</v>
      </c>
      <c r="AG46" s="169"/>
      <c r="AH46" s="169"/>
      <c r="AI46" s="169"/>
      <c r="AJ46" s="169">
        <v>11000000</v>
      </c>
      <c r="AK46" s="166"/>
      <c r="AL46" s="169"/>
      <c r="AM46" s="182"/>
      <c r="AN46" s="166">
        <f t="shared" si="116"/>
        <v>54457940</v>
      </c>
      <c r="AO46" s="182"/>
      <c r="AP46" s="182"/>
      <c r="AQ46" s="182"/>
      <c r="AR46" s="182"/>
      <c r="AS46" s="183"/>
      <c r="AT46" s="86">
        <f t="shared" si="51"/>
        <v>170080007</v>
      </c>
      <c r="AU46" s="116">
        <f t="shared" si="108"/>
        <v>17</v>
      </c>
      <c r="AV46" s="165">
        <v>17455</v>
      </c>
    </row>
    <row r="47" spans="1:48" s="165" customFormat="1" ht="24.95" customHeight="1" x14ac:dyDescent="0.25">
      <c r="A47" s="169">
        <v>32026</v>
      </c>
      <c r="B47" s="170" t="s">
        <v>1</v>
      </c>
      <c r="C47" s="169" t="s">
        <v>246</v>
      </c>
      <c r="D47" s="169" t="s">
        <v>31</v>
      </c>
      <c r="E47" s="249">
        <f t="shared" si="124"/>
        <v>46087</v>
      </c>
      <c r="F47" s="171" t="s">
        <v>15</v>
      </c>
      <c r="G47" s="284">
        <v>46105</v>
      </c>
      <c r="H47" s="169" t="s">
        <v>16</v>
      </c>
      <c r="I47" s="171">
        <v>4785.3</v>
      </c>
      <c r="J47" s="173">
        <v>193000</v>
      </c>
      <c r="K47" s="167">
        <f t="shared" si="109"/>
        <v>923562900</v>
      </c>
      <c r="L47" s="175">
        <v>30</v>
      </c>
      <c r="M47" s="266"/>
      <c r="N47" s="168"/>
      <c r="O47" s="178">
        <f t="shared" si="117"/>
        <v>178703.70370370368</v>
      </c>
      <c r="P47" s="179">
        <f t="shared" si="118"/>
        <v>855150833.33333325</v>
      </c>
      <c r="Q47" s="179">
        <f t="shared" si="119"/>
        <v>68412066.666666657</v>
      </c>
      <c r="R47" s="180">
        <f t="shared" si="120"/>
        <v>923562899.99999988</v>
      </c>
      <c r="S47" s="177">
        <f t="shared" si="121"/>
        <v>0</v>
      </c>
      <c r="T47" s="177">
        <f t="shared" si="122"/>
        <v>0</v>
      </c>
      <c r="U47" s="177">
        <f t="shared" si="123"/>
        <v>0</v>
      </c>
      <c r="V47" s="181" t="s">
        <v>62</v>
      </c>
      <c r="W47" s="180">
        <f>+Table2[[#This Row],[Tổng cộng]]-SUM(X47:Z47)</f>
        <v>0</v>
      </c>
      <c r="X47" s="180">
        <v>923562899.99999988</v>
      </c>
      <c r="Y47" s="322"/>
      <c r="Z47" s="83"/>
      <c r="AA47" s="83"/>
      <c r="AB47" s="181"/>
      <c r="AC47" s="163"/>
      <c r="AD47" s="303"/>
      <c r="AE47" s="163"/>
      <c r="AF47" s="173"/>
      <c r="AG47" s="169"/>
      <c r="AH47" s="169"/>
      <c r="AI47" s="169"/>
      <c r="AJ47" s="169"/>
      <c r="AK47" s="166"/>
      <c r="AL47" s="169"/>
      <c r="AM47" s="182"/>
      <c r="AN47" s="166">
        <f t="shared" si="116"/>
        <v>73885032</v>
      </c>
      <c r="AO47" s="182"/>
      <c r="AP47" s="182"/>
      <c r="AQ47" s="182"/>
      <c r="AR47" s="182"/>
      <c r="AS47" s="183"/>
      <c r="AT47" s="86">
        <f t="shared" si="51"/>
        <v>73885032</v>
      </c>
      <c r="AU47" s="116">
        <f t="shared" si="108"/>
        <v>18</v>
      </c>
      <c r="AV47" s="165">
        <v>13138</v>
      </c>
    </row>
    <row r="48" spans="1:48" s="165" customFormat="1" ht="24.95" customHeight="1" x14ac:dyDescent="0.25">
      <c r="A48" s="169">
        <v>32026</v>
      </c>
      <c r="B48" s="170" t="s">
        <v>1</v>
      </c>
      <c r="C48" s="169" t="s">
        <v>250</v>
      </c>
      <c r="D48" s="169" t="s">
        <v>66</v>
      </c>
      <c r="E48" s="249">
        <f>+G47</f>
        <v>46105</v>
      </c>
      <c r="F48" s="171" t="s">
        <v>251</v>
      </c>
      <c r="G48" s="284">
        <v>46111</v>
      </c>
      <c r="H48" s="169" t="s">
        <v>39</v>
      </c>
      <c r="I48" s="171">
        <v>1</v>
      </c>
      <c r="J48" s="173">
        <v>510000000</v>
      </c>
      <c r="K48" s="167">
        <f t="shared" si="109"/>
        <v>510000000</v>
      </c>
      <c r="L48" s="175">
        <v>32</v>
      </c>
      <c r="M48" s="266"/>
      <c r="N48" s="168"/>
      <c r="O48" s="178">
        <f t="shared" si="117"/>
        <v>472222222.22222221</v>
      </c>
      <c r="P48" s="179">
        <f t="shared" si="118"/>
        <v>472222222.22222221</v>
      </c>
      <c r="Q48" s="179">
        <f t="shared" si="119"/>
        <v>37777777.777777776</v>
      </c>
      <c r="R48" s="180">
        <f t="shared" si="120"/>
        <v>510000000</v>
      </c>
      <c r="S48" s="177">
        <f t="shared" si="121"/>
        <v>0</v>
      </c>
      <c r="T48" s="177">
        <f t="shared" si="122"/>
        <v>0</v>
      </c>
      <c r="U48" s="177">
        <f t="shared" si="123"/>
        <v>0</v>
      </c>
      <c r="V48" s="181" t="s">
        <v>62</v>
      </c>
      <c r="W48" s="180">
        <f>+Table2[[#This Row],[Tổng cộng]]-SUM(X48:Z48)</f>
        <v>0</v>
      </c>
      <c r="X48" s="180">
        <v>510000000</v>
      </c>
      <c r="Y48" s="322"/>
      <c r="Z48" s="83"/>
      <c r="AA48" s="83"/>
      <c r="AB48" s="181"/>
      <c r="AC48" s="295">
        <v>43325000</v>
      </c>
      <c r="AD48" s="295"/>
      <c r="AE48" s="163"/>
      <c r="AF48" s="173"/>
      <c r="AG48" s="169"/>
      <c r="AH48" s="169"/>
      <c r="AI48" s="169"/>
      <c r="AJ48" s="169"/>
      <c r="AK48" s="166"/>
      <c r="AL48" s="169"/>
      <c r="AM48" s="182"/>
      <c r="AN48" s="166">
        <f t="shared" si="116"/>
        <v>40800000</v>
      </c>
      <c r="AO48" s="182"/>
      <c r="AP48" s="182"/>
      <c r="AQ48" s="182"/>
      <c r="AR48" s="182"/>
      <c r="AS48" s="183"/>
      <c r="AT48" s="86">
        <f t="shared" si="51"/>
        <v>84125000</v>
      </c>
      <c r="AU48" s="116">
        <f t="shared" si="108"/>
        <v>6</v>
      </c>
    </row>
    <row r="49" spans="1:48" s="165" customFormat="1" ht="24.95" customHeight="1" x14ac:dyDescent="0.25">
      <c r="A49" s="169">
        <v>42026</v>
      </c>
      <c r="B49" s="170" t="s">
        <v>1</v>
      </c>
      <c r="C49" s="169" t="s">
        <v>258</v>
      </c>
      <c r="D49" s="169" t="s">
        <v>17</v>
      </c>
      <c r="E49" s="249">
        <f>+G48</f>
        <v>46111</v>
      </c>
      <c r="F49" s="171" t="s">
        <v>24</v>
      </c>
      <c r="G49" s="284">
        <v>46120</v>
      </c>
      <c r="H49" s="169" t="s">
        <v>16</v>
      </c>
      <c r="I49" s="171">
        <v>4773.09</v>
      </c>
      <c r="J49" s="173">
        <v>243000</v>
      </c>
      <c r="K49" s="167">
        <f t="shared" si="109"/>
        <v>1159860870</v>
      </c>
      <c r="L49" s="175">
        <v>38</v>
      </c>
      <c r="M49" s="266"/>
      <c r="N49" s="168">
        <v>0</v>
      </c>
      <c r="O49" s="178">
        <f t="shared" si="117"/>
        <v>224999.99999999997</v>
      </c>
      <c r="P49" s="179">
        <f t="shared" si="118"/>
        <v>1073945250</v>
      </c>
      <c r="Q49" s="179">
        <f t="shared" si="119"/>
        <v>85915620</v>
      </c>
      <c r="R49" s="180">
        <f t="shared" si="120"/>
        <v>1159860870</v>
      </c>
      <c r="S49" s="177">
        <f t="shared" si="121"/>
        <v>0</v>
      </c>
      <c r="T49" s="177">
        <f t="shared" si="122"/>
        <v>0</v>
      </c>
      <c r="U49" s="177">
        <f t="shared" si="123"/>
        <v>0</v>
      </c>
      <c r="V49" s="181" t="s">
        <v>62</v>
      </c>
      <c r="W49" s="180">
        <f>+Table2[[#This Row],[Tổng cộng]]-SUM(X49:Z49)</f>
        <v>0</v>
      </c>
      <c r="X49" s="180">
        <v>1159860870</v>
      </c>
      <c r="Y49" s="322"/>
      <c r="Z49" s="83"/>
      <c r="AA49" s="83"/>
      <c r="AB49" s="181"/>
      <c r="AC49" s="163"/>
      <c r="AD49" s="163"/>
      <c r="AE49" s="163"/>
      <c r="AF49" s="173"/>
      <c r="AG49" s="169"/>
      <c r="AH49" s="169"/>
      <c r="AI49" s="169"/>
      <c r="AJ49" s="169"/>
      <c r="AK49" s="166"/>
      <c r="AL49" s="169"/>
      <c r="AM49" s="182"/>
      <c r="AN49" s="166"/>
      <c r="AO49" s="182"/>
      <c r="AP49" s="182"/>
      <c r="AQ49" s="182"/>
      <c r="AR49" s="182"/>
      <c r="AS49" s="183"/>
      <c r="AT49" s="86">
        <f t="shared" si="51"/>
        <v>0</v>
      </c>
      <c r="AU49" s="116">
        <f t="shared" si="108"/>
        <v>9</v>
      </c>
    </row>
    <row r="50" spans="1:48" s="165" customFormat="1" ht="24.95" customHeight="1" x14ac:dyDescent="0.25">
      <c r="A50" s="169">
        <v>42026</v>
      </c>
      <c r="B50" s="170" t="s">
        <v>1</v>
      </c>
      <c r="C50" s="169" t="s">
        <v>264</v>
      </c>
      <c r="D50" s="169" t="s">
        <v>29</v>
      </c>
      <c r="E50" s="249">
        <f>+G49+1</f>
        <v>46121</v>
      </c>
      <c r="F50" s="171" t="s">
        <v>35</v>
      </c>
      <c r="G50" s="284">
        <v>46136</v>
      </c>
      <c r="H50" s="169" t="s">
        <v>39</v>
      </c>
      <c r="I50" s="171">
        <v>1</v>
      </c>
      <c r="J50" s="173">
        <f>410400000+(299600000/1.08)</f>
        <v>687807407.4074074</v>
      </c>
      <c r="K50" s="167">
        <f t="shared" ref="K50" si="125">I50*J50</f>
        <v>687807407.4074074</v>
      </c>
      <c r="L50" s="175">
        <v>46</v>
      </c>
      <c r="M50" s="266"/>
      <c r="N50" s="168">
        <v>-277807407</v>
      </c>
      <c r="O50" s="178">
        <f t="shared" ref="O50" si="126">+(J50+N50)/1.08</f>
        <v>379629630.00685871</v>
      </c>
      <c r="P50" s="179">
        <f t="shared" ref="P50" si="127">I50*O50</f>
        <v>379629630.00685871</v>
      </c>
      <c r="Q50" s="179">
        <f t="shared" ref="Q50" si="128">P50*0.08</f>
        <v>30370370.400548697</v>
      </c>
      <c r="R50" s="180">
        <f t="shared" ref="R50" si="129">(+P50+Q50)</f>
        <v>410000000.4074074</v>
      </c>
      <c r="S50" s="177">
        <f t="shared" ref="S50" si="130">R50-K50</f>
        <v>-277807407</v>
      </c>
      <c r="T50" s="177">
        <f>S50/1.08*0%</f>
        <v>0</v>
      </c>
      <c r="U50" s="177">
        <f t="shared" ref="U50" si="131">S50-T50</f>
        <v>-277807407</v>
      </c>
      <c r="V50" s="181" t="s">
        <v>62</v>
      </c>
      <c r="W50" s="180">
        <f>+Table2[[#This Row],[Tổng cộng]]-SUM(X50:Z50)</f>
        <v>410000000.4074074</v>
      </c>
      <c r="X50" s="180"/>
      <c r="Y50" s="322"/>
      <c r="Z50" s="83"/>
      <c r="AA50" s="83"/>
      <c r="AB50" s="181"/>
      <c r="AC50" s="163"/>
      <c r="AD50" s="163"/>
      <c r="AE50" s="163"/>
      <c r="AF50" s="173"/>
      <c r="AG50" s="169"/>
      <c r="AH50" s="169"/>
      <c r="AI50" s="169"/>
      <c r="AJ50" s="169"/>
      <c r="AK50" s="166"/>
      <c r="AL50" s="169"/>
      <c r="AM50" s="182"/>
      <c r="AN50" s="166"/>
      <c r="AO50" s="182"/>
      <c r="AP50" s="182"/>
      <c r="AQ50" s="182"/>
      <c r="AR50" s="182"/>
      <c r="AS50" s="183"/>
      <c r="AT50" s="86"/>
      <c r="AU50" s="116"/>
    </row>
    <row r="51" spans="1:48" s="165" customFormat="1" ht="24.95" customHeight="1" x14ac:dyDescent="0.25">
      <c r="A51" s="169">
        <v>42026</v>
      </c>
      <c r="B51" s="170" t="s">
        <v>1</v>
      </c>
      <c r="C51" s="169" t="s">
        <v>265</v>
      </c>
      <c r="D51" s="169" t="s">
        <v>31</v>
      </c>
      <c r="E51" s="249">
        <f>+G50+1</f>
        <v>46137</v>
      </c>
      <c r="F51" s="171" t="s">
        <v>14</v>
      </c>
      <c r="G51" s="284">
        <v>46143</v>
      </c>
      <c r="H51" s="169" t="s">
        <v>35</v>
      </c>
      <c r="I51" s="171">
        <v>4785.03</v>
      </c>
      <c r="J51" s="173">
        <v>210000</v>
      </c>
      <c r="K51" s="167">
        <f t="shared" ref="K51" si="132">I51*J51</f>
        <v>1004856300</v>
      </c>
      <c r="L51" s="175">
        <v>47</v>
      </c>
      <c r="M51" s="266"/>
      <c r="N51" s="168"/>
      <c r="O51" s="178"/>
      <c r="P51" s="179"/>
      <c r="Q51" s="179"/>
      <c r="R51" s="180"/>
      <c r="S51" s="177"/>
      <c r="T51" s="177"/>
      <c r="U51" s="177"/>
      <c r="V51" s="181" t="s">
        <v>62</v>
      </c>
      <c r="W51" s="180">
        <f>+Table2[[#This Row],[Tổng cộng]]-SUM(X51:Z51)</f>
        <v>0</v>
      </c>
      <c r="X51" s="180">
        <v>0</v>
      </c>
      <c r="Y51" s="322"/>
      <c r="Z51" s="83"/>
      <c r="AA51" s="83"/>
      <c r="AB51" s="181"/>
      <c r="AC51" s="163"/>
      <c r="AD51" s="163"/>
      <c r="AE51" s="163"/>
      <c r="AF51" s="173"/>
      <c r="AG51" s="169"/>
      <c r="AH51" s="169"/>
      <c r="AI51" s="169"/>
      <c r="AJ51" s="169"/>
      <c r="AK51" s="166"/>
      <c r="AL51" s="169"/>
      <c r="AM51" s="182"/>
      <c r="AN51" s="166"/>
      <c r="AO51" s="182"/>
      <c r="AP51" s="182"/>
      <c r="AQ51" s="182"/>
      <c r="AR51" s="182"/>
      <c r="AS51" s="183"/>
      <c r="AT51" s="86">
        <f t="shared" si="51"/>
        <v>0</v>
      </c>
      <c r="AU51" s="116">
        <f>+G51-E51</f>
        <v>6</v>
      </c>
    </row>
    <row r="52" spans="1:48" s="165" customFormat="1" ht="24.95" customHeight="1" x14ac:dyDescent="0.25">
      <c r="A52" s="169">
        <v>52026</v>
      </c>
      <c r="B52" s="170" t="s">
        <v>1</v>
      </c>
      <c r="C52" s="169" t="s">
        <v>266</v>
      </c>
      <c r="D52" s="169" t="s">
        <v>37</v>
      </c>
      <c r="E52" s="249">
        <f>+G51+1</f>
        <v>46144</v>
      </c>
      <c r="F52" s="171" t="s">
        <v>36</v>
      </c>
      <c r="G52" s="284">
        <v>46152</v>
      </c>
      <c r="H52" s="169" t="s">
        <v>39</v>
      </c>
      <c r="I52" s="171">
        <v>4695.13</v>
      </c>
      <c r="J52" s="173">
        <v>125000</v>
      </c>
      <c r="K52" s="167">
        <f t="shared" ref="K52" si="133">I52*J52</f>
        <v>586891250</v>
      </c>
      <c r="L52" s="175">
        <v>52</v>
      </c>
      <c r="M52" s="266"/>
      <c r="N52" s="168"/>
      <c r="O52" s="178"/>
      <c r="P52" s="179"/>
      <c r="Q52" s="179"/>
      <c r="R52" s="180"/>
      <c r="S52" s="177"/>
      <c r="T52" s="177"/>
      <c r="U52" s="177"/>
      <c r="V52" s="181" t="s">
        <v>63</v>
      </c>
      <c r="W52" s="180">
        <f>+Table2[[#This Row],[Tổng cộng]]-SUM(X52:Z52)</f>
        <v>0</v>
      </c>
      <c r="X52" s="180">
        <v>0</v>
      </c>
      <c r="Y52" s="322"/>
      <c r="Z52" s="83"/>
      <c r="AA52" s="83"/>
      <c r="AB52" s="181"/>
      <c r="AC52" s="163"/>
      <c r="AD52" s="163"/>
      <c r="AE52" s="163"/>
      <c r="AF52" s="173"/>
      <c r="AG52" s="169"/>
      <c r="AH52" s="169"/>
      <c r="AI52" s="169"/>
      <c r="AJ52" s="169"/>
      <c r="AK52" s="166"/>
      <c r="AL52" s="169"/>
      <c r="AM52" s="182"/>
      <c r="AN52" s="166"/>
      <c r="AO52" s="182"/>
      <c r="AP52" s="182"/>
      <c r="AQ52" s="182"/>
      <c r="AR52" s="182"/>
      <c r="AS52" s="183"/>
      <c r="AT52" s="86"/>
      <c r="AU52" s="116"/>
    </row>
    <row r="53" spans="1:48" s="165" customFormat="1" ht="24.95" customHeight="1" x14ac:dyDescent="0.25">
      <c r="A53" s="169"/>
      <c r="B53" s="170"/>
      <c r="C53" s="169"/>
      <c r="D53" s="169"/>
      <c r="E53" s="249"/>
      <c r="F53" s="171"/>
      <c r="G53" s="284"/>
      <c r="H53" s="169"/>
      <c r="I53" s="171"/>
      <c r="J53" s="173"/>
      <c r="K53" s="167"/>
      <c r="L53" s="175"/>
      <c r="M53" s="266"/>
      <c r="N53" s="168"/>
      <c r="O53" s="178"/>
      <c r="P53" s="179"/>
      <c r="Q53" s="179"/>
      <c r="R53" s="180"/>
      <c r="S53" s="177"/>
      <c r="T53" s="177"/>
      <c r="U53" s="177"/>
      <c r="V53" s="181"/>
      <c r="W53" s="180">
        <f>+Table2[[#This Row],[Tổng cộng]]-SUM(X53:Z53)</f>
        <v>0</v>
      </c>
      <c r="X53" s="180">
        <v>0</v>
      </c>
      <c r="Y53" s="322"/>
      <c r="Z53" s="83"/>
      <c r="AA53" s="83"/>
      <c r="AB53" s="181"/>
      <c r="AC53" s="163"/>
      <c r="AD53" s="163"/>
      <c r="AE53" s="163"/>
      <c r="AF53" s="173"/>
      <c r="AG53" s="169"/>
      <c r="AH53" s="169"/>
      <c r="AI53" s="169"/>
      <c r="AJ53" s="169"/>
      <c r="AK53" s="166"/>
      <c r="AL53" s="169"/>
      <c r="AM53" s="182"/>
      <c r="AN53" s="166"/>
      <c r="AO53" s="182"/>
      <c r="AP53" s="182"/>
      <c r="AQ53" s="182"/>
      <c r="AR53" s="182"/>
      <c r="AS53" s="183"/>
      <c r="AT53" s="86"/>
      <c r="AU53" s="116"/>
    </row>
    <row r="54" spans="1:48" s="165" customFormat="1" ht="24.95" customHeight="1" x14ac:dyDescent="0.25">
      <c r="A54" s="169"/>
      <c r="B54" s="170"/>
      <c r="C54" s="169"/>
      <c r="D54" s="169"/>
      <c r="E54" s="170"/>
      <c r="F54" s="171"/>
      <c r="G54" s="172"/>
      <c r="H54" s="169"/>
      <c r="I54" s="173"/>
      <c r="J54" s="173"/>
      <c r="K54" s="174"/>
      <c r="L54" s="175"/>
      <c r="M54" s="176"/>
      <c r="N54" s="177"/>
      <c r="O54" s="178"/>
      <c r="P54" s="179"/>
      <c r="Q54" s="179"/>
      <c r="R54" s="180"/>
      <c r="S54" s="177"/>
      <c r="T54" s="177"/>
      <c r="U54" s="177"/>
      <c r="V54" s="181"/>
      <c r="W54" s="180">
        <f>+Table2[[#This Row],[Tổng cộng]]-SUM(X54:Z54)</f>
        <v>0</v>
      </c>
      <c r="X54" s="180">
        <v>0</v>
      </c>
      <c r="Y54" s="322"/>
      <c r="Z54" s="83"/>
      <c r="AA54" s="83"/>
      <c r="AB54" s="181"/>
      <c r="AC54" s="163"/>
      <c r="AD54" s="177"/>
      <c r="AE54" s="177"/>
      <c r="AF54" s="173"/>
      <c r="AG54" s="169"/>
      <c r="AH54" s="169"/>
      <c r="AI54" s="169"/>
      <c r="AJ54" s="169"/>
      <c r="AK54" s="169"/>
      <c r="AL54" s="169"/>
      <c r="AM54" s="182"/>
      <c r="AN54" s="169"/>
      <c r="AO54" s="182"/>
      <c r="AP54" s="182"/>
      <c r="AQ54" s="182"/>
      <c r="AR54" s="182"/>
      <c r="AS54" s="183"/>
      <c r="AT54" s="86">
        <f t="shared" si="51"/>
        <v>0</v>
      </c>
      <c r="AU54" s="116">
        <f t="shared" ref="AU54:AU61" si="134">+G54-E54</f>
        <v>0</v>
      </c>
    </row>
    <row r="55" spans="1:48" s="185" customFormat="1" ht="24.95" customHeight="1" x14ac:dyDescent="0.25">
      <c r="A55" s="189">
        <v>12026</v>
      </c>
      <c r="B55" s="203" t="s">
        <v>65</v>
      </c>
      <c r="C55" s="202" t="s">
        <v>98</v>
      </c>
      <c r="D55" s="202" t="s">
        <v>200</v>
      </c>
      <c r="E55" s="285">
        <v>46029</v>
      </c>
      <c r="F55" s="204" t="s">
        <v>93</v>
      </c>
      <c r="G55" s="287">
        <v>46041</v>
      </c>
      <c r="H55" s="202" t="s">
        <v>89</v>
      </c>
      <c r="I55" s="205">
        <v>7322.56</v>
      </c>
      <c r="J55" s="205">
        <v>95000</v>
      </c>
      <c r="K55" s="206">
        <f t="shared" ref="K55:K57" si="135">I55*J55</f>
        <v>695643200</v>
      </c>
      <c r="L55" s="207">
        <v>7</v>
      </c>
      <c r="M55" s="271" t="s">
        <v>207</v>
      </c>
      <c r="N55" s="209"/>
      <c r="O55" s="210">
        <f t="shared" ref="O55" si="136">+(J55+N55)/1.08</f>
        <v>87962.962962962964</v>
      </c>
      <c r="P55" s="211">
        <f>I55*O55</f>
        <v>644114074.07407415</v>
      </c>
      <c r="Q55" s="211">
        <f t="shared" ref="Q55" si="137">P55*0.08</f>
        <v>51529125.925925933</v>
      </c>
      <c r="R55" s="212">
        <f>(+P55+Q55)</f>
        <v>695643200.00000012</v>
      </c>
      <c r="S55" s="209">
        <f t="shared" ref="S55" si="138">R55-K55</f>
        <v>0</v>
      </c>
      <c r="T55" s="209">
        <f>S55/1.08*28%</f>
        <v>0</v>
      </c>
      <c r="U55" s="209">
        <f t="shared" ref="U55" si="139">S55-T55</f>
        <v>0</v>
      </c>
      <c r="V55" s="213" t="s">
        <v>62</v>
      </c>
      <c r="W55" s="187">
        <f>+Table2[[#This Row],[Tổng cộng]]-SUM(X55:Z55)</f>
        <v>0</v>
      </c>
      <c r="X55" s="187">
        <v>695643200.00000012</v>
      </c>
      <c r="Y55" s="304"/>
      <c r="Z55" s="83"/>
      <c r="AA55" s="83"/>
      <c r="AB55" s="213"/>
      <c r="AC55" s="209">
        <v>51613525</v>
      </c>
      <c r="AD55" s="209"/>
      <c r="AE55" s="186">
        <v>5000000</v>
      </c>
      <c r="AF55" s="205">
        <v>16880000</v>
      </c>
      <c r="AG55" s="202"/>
      <c r="AH55" s="202"/>
      <c r="AI55" s="202"/>
      <c r="AJ55" s="184">
        <v>11340000</v>
      </c>
      <c r="AK55" s="184">
        <v>542857140</v>
      </c>
      <c r="AL55" s="202"/>
      <c r="AM55" s="214">
        <v>257918500</v>
      </c>
      <c r="AN55" s="192">
        <f t="shared" ref="AN55:AN59" si="140">+K55*0.08</f>
        <v>55651456</v>
      </c>
      <c r="AO55" s="214"/>
      <c r="AP55" s="214">
        <v>50860000</v>
      </c>
      <c r="AQ55" s="214">
        <v>40596896</v>
      </c>
      <c r="AR55" s="214">
        <v>3760000</v>
      </c>
      <c r="AS55" s="215"/>
      <c r="AT55" s="86">
        <f t="shared" si="51"/>
        <v>1036477517</v>
      </c>
      <c r="AU55" s="116">
        <f t="shared" si="134"/>
        <v>12</v>
      </c>
    </row>
    <row r="56" spans="1:48" s="185" customFormat="1" ht="24.95" customHeight="1" x14ac:dyDescent="0.25">
      <c r="A56" s="189">
        <v>12026</v>
      </c>
      <c r="B56" s="190" t="s">
        <v>65</v>
      </c>
      <c r="C56" s="189" t="s">
        <v>158</v>
      </c>
      <c r="D56" s="189" t="s">
        <v>31</v>
      </c>
      <c r="E56" s="285">
        <f>+G55+1</f>
        <v>46042</v>
      </c>
      <c r="F56" s="191" t="s">
        <v>89</v>
      </c>
      <c r="G56" s="286">
        <v>46055</v>
      </c>
      <c r="H56" s="189" t="s">
        <v>217</v>
      </c>
      <c r="I56" s="192">
        <v>7995.95</v>
      </c>
      <c r="J56" s="192">
        <v>183000</v>
      </c>
      <c r="K56" s="193">
        <f t="shared" si="135"/>
        <v>1463258850</v>
      </c>
      <c r="L56" s="194">
        <v>13</v>
      </c>
      <c r="M56" s="195"/>
      <c r="N56" s="196">
        <v>10000</v>
      </c>
      <c r="O56" s="197">
        <f t="shared" ref="O56:O63" si="141">+(J56+N56)/1.08</f>
        <v>178703.70370370368</v>
      </c>
      <c r="P56" s="198">
        <f t="shared" ref="P56:P63" si="142">I56*O56</f>
        <v>1428905879.6296294</v>
      </c>
      <c r="Q56" s="198">
        <f t="shared" ref="Q56:Q63" si="143">P56*0.08</f>
        <v>114312470.37037036</v>
      </c>
      <c r="R56" s="199">
        <f t="shared" ref="R56:R63" si="144">(+P56+Q56)</f>
        <v>1543218349.9999998</v>
      </c>
      <c r="S56" s="196">
        <f t="shared" ref="S56:S63" si="145">R56-K56</f>
        <v>79959499.999999762</v>
      </c>
      <c r="T56" s="209">
        <f t="shared" ref="T56:T63" si="146">S56/1.08*28%</f>
        <v>20730240.740740679</v>
      </c>
      <c r="U56" s="209">
        <f t="shared" ref="U56:U63" si="147">S56-T56</f>
        <v>59229259.259259082</v>
      </c>
      <c r="V56" s="213" t="s">
        <v>62</v>
      </c>
      <c r="W56" s="187">
        <f>+Table2[[#This Row],[Tổng cộng]]-SUM(X56:Z56)</f>
        <v>0</v>
      </c>
      <c r="X56" s="187">
        <v>1543218349.9999998</v>
      </c>
      <c r="Y56" s="304"/>
      <c r="Z56" s="83"/>
      <c r="AA56" s="83"/>
      <c r="AB56" s="188"/>
      <c r="AC56" s="189"/>
      <c r="AD56" s="186">
        <v>64837024</v>
      </c>
      <c r="AE56" s="186">
        <v>7250000</v>
      </c>
      <c r="AF56" s="192">
        <v>4300000</v>
      </c>
      <c r="AG56" s="189">
        <v>6480000</v>
      </c>
      <c r="AH56" s="189">
        <v>16848000</v>
      </c>
      <c r="AI56" s="189">
        <v>22231411</v>
      </c>
      <c r="AJ56" s="184">
        <v>11340000</v>
      </c>
      <c r="AK56" s="184"/>
      <c r="AL56" s="189" t="str">
        <f>+IF($V56="Cty Hoàng Long",$K56, "")</f>
        <v/>
      </c>
      <c r="AM56" s="200">
        <v>24096000</v>
      </c>
      <c r="AN56" s="192">
        <f t="shared" si="140"/>
        <v>117060708</v>
      </c>
      <c r="AO56" s="200"/>
      <c r="AP56" s="200"/>
      <c r="AQ56" s="200"/>
      <c r="AR56" s="200"/>
      <c r="AS56" s="201" t="str">
        <f>+IF($V56="Cty Việt Anh",$K56, "")</f>
        <v/>
      </c>
      <c r="AT56" s="86">
        <f t="shared" si="51"/>
        <v>274443143</v>
      </c>
      <c r="AU56" s="116">
        <f t="shared" si="134"/>
        <v>13</v>
      </c>
      <c r="AV56" s="185" t="str">
        <f>+IF($V56="Cty Hằng Phát",$K56, "")</f>
        <v/>
      </c>
    </row>
    <row r="57" spans="1:48" s="185" customFormat="1" ht="24.95" customHeight="1" x14ac:dyDescent="0.25">
      <c r="A57" s="202">
        <v>22026</v>
      </c>
      <c r="B57" s="203" t="s">
        <v>65</v>
      </c>
      <c r="C57" s="202" t="s">
        <v>177</v>
      </c>
      <c r="D57" s="202" t="s">
        <v>223</v>
      </c>
      <c r="E57" s="285">
        <f t="shared" ref="E57:E59" si="148">+G56+1</f>
        <v>46056</v>
      </c>
      <c r="F57" s="204" t="s">
        <v>224</v>
      </c>
      <c r="G57" s="293">
        <v>46062</v>
      </c>
      <c r="H57" s="202" t="s">
        <v>221</v>
      </c>
      <c r="I57" s="205">
        <v>4980.97</v>
      </c>
      <c r="J57" s="205">
        <v>92000</v>
      </c>
      <c r="K57" s="206">
        <f t="shared" si="135"/>
        <v>458249240</v>
      </c>
      <c r="L57" s="207">
        <v>16</v>
      </c>
      <c r="M57" s="208"/>
      <c r="N57" s="209"/>
      <c r="O57" s="210">
        <f t="shared" si="141"/>
        <v>85185.185185185182</v>
      </c>
      <c r="P57" s="211">
        <f t="shared" si="142"/>
        <v>424304851.85185188</v>
      </c>
      <c r="Q57" s="211">
        <f t="shared" si="143"/>
        <v>33944388.148148149</v>
      </c>
      <c r="R57" s="212">
        <f t="shared" si="144"/>
        <v>458249240</v>
      </c>
      <c r="S57" s="209">
        <f t="shared" si="145"/>
        <v>0</v>
      </c>
      <c r="T57" s="209">
        <f t="shared" si="146"/>
        <v>0</v>
      </c>
      <c r="U57" s="209">
        <f t="shared" si="147"/>
        <v>0</v>
      </c>
      <c r="V57" s="213" t="s">
        <v>225</v>
      </c>
      <c r="W57" s="187">
        <f>+Table2[[#This Row],[Tổng cộng]]-SUM(X57:Z57)</f>
        <v>0</v>
      </c>
      <c r="X57" s="187">
        <v>458249240</v>
      </c>
      <c r="Y57" s="304"/>
      <c r="Z57" s="83"/>
      <c r="AA57" s="83"/>
      <c r="AB57" s="188"/>
      <c r="AC57" s="186">
        <v>49732588</v>
      </c>
      <c r="AD57" s="209">
        <f>70000000+13786824</f>
        <v>83786824</v>
      </c>
      <c r="AE57" s="186">
        <v>5600000</v>
      </c>
      <c r="AF57" s="205">
        <v>5500000</v>
      </c>
      <c r="AG57" s="202"/>
      <c r="AH57" s="202"/>
      <c r="AI57" s="202"/>
      <c r="AJ57" s="184">
        <v>6480000</v>
      </c>
      <c r="AK57" s="184">
        <v>435132000</v>
      </c>
      <c r="AL57" s="202" t="str">
        <f>+IF($V57="Cty Hoàng Long",$K57, "")</f>
        <v/>
      </c>
      <c r="AM57" s="214">
        <v>257918500</v>
      </c>
      <c r="AN57" s="192">
        <f t="shared" si="140"/>
        <v>36659939.200000003</v>
      </c>
      <c r="AO57" s="214"/>
      <c r="AP57" s="214">
        <v>52110000</v>
      </c>
      <c r="AQ57" s="214">
        <v>4817000</v>
      </c>
      <c r="AR57" s="214">
        <v>5435000</v>
      </c>
      <c r="AS57" s="215" t="str">
        <f>+IF($V57="Cty Việt Anh",$K57, "")</f>
        <v/>
      </c>
      <c r="AT57" s="86">
        <f t="shared" si="51"/>
        <v>943171851.20000005</v>
      </c>
      <c r="AU57" s="116">
        <f t="shared" si="134"/>
        <v>6</v>
      </c>
      <c r="AV57" s="185" t="str">
        <f>+IF($V57="Cty Hằng Phát",$K57, "")</f>
        <v/>
      </c>
    </row>
    <row r="58" spans="1:48" s="185" customFormat="1" ht="24.95" customHeight="1" x14ac:dyDescent="0.25">
      <c r="A58" s="202">
        <v>22026</v>
      </c>
      <c r="B58" s="203" t="s">
        <v>65</v>
      </c>
      <c r="C58" s="202" t="s">
        <v>178</v>
      </c>
      <c r="D58" s="202" t="s">
        <v>31</v>
      </c>
      <c r="E58" s="285">
        <f t="shared" si="148"/>
        <v>46063</v>
      </c>
      <c r="F58" s="204" t="s">
        <v>15</v>
      </c>
      <c r="G58" s="293">
        <v>46088</v>
      </c>
      <c r="H58" s="202" t="s">
        <v>16</v>
      </c>
      <c r="I58" s="205">
        <v>7972.3</v>
      </c>
      <c r="J58" s="205">
        <v>187500</v>
      </c>
      <c r="K58" s="206">
        <f t="shared" ref="K58:K64" si="149">I58*J58</f>
        <v>1494806250</v>
      </c>
      <c r="L58" s="207">
        <v>24</v>
      </c>
      <c r="M58" s="208"/>
      <c r="N58" s="209"/>
      <c r="O58" s="210">
        <f t="shared" si="141"/>
        <v>173611.11111111109</v>
      </c>
      <c r="P58" s="211">
        <f t="shared" si="142"/>
        <v>1384079861.1111109</v>
      </c>
      <c r="Q58" s="211">
        <f t="shared" si="143"/>
        <v>110726388.88888888</v>
      </c>
      <c r="R58" s="212">
        <f t="shared" si="144"/>
        <v>1494806249.9999998</v>
      </c>
      <c r="S58" s="209">
        <f t="shared" si="145"/>
        <v>0</v>
      </c>
      <c r="T58" s="209">
        <f t="shared" si="146"/>
        <v>0</v>
      </c>
      <c r="U58" s="209">
        <f t="shared" si="147"/>
        <v>0</v>
      </c>
      <c r="V58" s="213" t="s">
        <v>62</v>
      </c>
      <c r="W58" s="187">
        <f>+Table2[[#This Row],[Tổng cộng]]-SUM(X58:Z58)</f>
        <v>0</v>
      </c>
      <c r="X58" s="187">
        <v>1494806249.9999998</v>
      </c>
      <c r="Y58" s="304"/>
      <c r="Z58" s="83"/>
      <c r="AA58" s="83"/>
      <c r="AB58" s="188"/>
      <c r="AC58" s="186"/>
      <c r="AD58" s="299">
        <v>46981024</v>
      </c>
      <c r="AE58" s="186">
        <v>14670000</v>
      </c>
      <c r="AF58" s="205"/>
      <c r="AG58" s="202"/>
      <c r="AH58" s="202"/>
      <c r="AI58" s="202"/>
      <c r="AJ58" s="184"/>
      <c r="AK58" s="184"/>
      <c r="AL58" s="202" t="str">
        <f t="shared" ref="AL58:AL64" si="150">+IF($V58="Cty Hoàng Long",$K58, "")</f>
        <v/>
      </c>
      <c r="AM58" s="200">
        <v>24096000</v>
      </c>
      <c r="AN58" s="192">
        <f t="shared" si="140"/>
        <v>119584500</v>
      </c>
      <c r="AO58" s="214"/>
      <c r="AP58" s="214"/>
      <c r="AQ58" s="214"/>
      <c r="AR58" s="214"/>
      <c r="AS58" s="215" t="str">
        <f t="shared" ref="AS58:AS64" si="151">+IF($V58="Cty Việt Anh",$K58, "")</f>
        <v/>
      </c>
      <c r="AT58" s="86">
        <f t="shared" ref="AT58:AT64" si="152">+SUM(AC58:AS58)</f>
        <v>205331524</v>
      </c>
      <c r="AU58" s="116">
        <f t="shared" si="134"/>
        <v>25</v>
      </c>
      <c r="AV58" s="185" t="str">
        <f t="shared" ref="AV58:AV64" si="153">+IF($V58="Cty Hằng Phát",$K58, "")</f>
        <v/>
      </c>
    </row>
    <row r="59" spans="1:48" s="185" customFormat="1" ht="24.95" customHeight="1" x14ac:dyDescent="0.25">
      <c r="A59" s="202">
        <v>32026</v>
      </c>
      <c r="B59" s="203" t="s">
        <v>65</v>
      </c>
      <c r="C59" s="202" t="s">
        <v>222</v>
      </c>
      <c r="D59" s="202" t="s">
        <v>17</v>
      </c>
      <c r="E59" s="285">
        <f t="shared" si="148"/>
        <v>46089</v>
      </c>
      <c r="F59" s="204" t="s">
        <v>24</v>
      </c>
      <c r="G59" s="293">
        <v>46102</v>
      </c>
      <c r="H59" s="202" t="s">
        <v>16</v>
      </c>
      <c r="I59" s="297">
        <v>7998.27</v>
      </c>
      <c r="J59" s="205">
        <v>200000</v>
      </c>
      <c r="K59" s="206">
        <f t="shared" si="149"/>
        <v>1599654000</v>
      </c>
      <c r="L59" s="207">
        <v>28</v>
      </c>
      <c r="M59" s="208"/>
      <c r="N59" s="209">
        <v>25000</v>
      </c>
      <c r="O59" s="210">
        <f t="shared" si="141"/>
        <v>208333.33333333331</v>
      </c>
      <c r="P59" s="211">
        <f t="shared" si="142"/>
        <v>1666306250</v>
      </c>
      <c r="Q59" s="211">
        <f t="shared" si="143"/>
        <v>133304500</v>
      </c>
      <c r="R59" s="212">
        <f t="shared" si="144"/>
        <v>1799610750</v>
      </c>
      <c r="S59" s="209">
        <f t="shared" si="145"/>
        <v>199956750</v>
      </c>
      <c r="T59" s="209">
        <f t="shared" si="146"/>
        <v>51840638.888888888</v>
      </c>
      <c r="U59" s="209">
        <f t="shared" si="147"/>
        <v>148116111.1111111</v>
      </c>
      <c r="V59" s="213" t="s">
        <v>62</v>
      </c>
      <c r="W59" s="187">
        <f>+Table2[[#This Row],[Tổng cộng]]-SUM(X59:Z59)</f>
        <v>0</v>
      </c>
      <c r="X59" s="187">
        <v>1799610750</v>
      </c>
      <c r="Y59" s="304"/>
      <c r="Z59" s="83"/>
      <c r="AA59" s="83"/>
      <c r="AB59" s="213"/>
      <c r="AC59" s="300">
        <v>48961216</v>
      </c>
      <c r="AD59" s="300">
        <v>42134000</v>
      </c>
      <c r="AE59" s="186"/>
      <c r="AF59" s="205"/>
      <c r="AG59" s="202"/>
      <c r="AH59" s="202"/>
      <c r="AI59" s="202"/>
      <c r="AJ59" s="184"/>
      <c r="AK59" s="184"/>
      <c r="AL59" s="202" t="str">
        <f t="shared" si="150"/>
        <v/>
      </c>
      <c r="AM59" s="214"/>
      <c r="AN59" s="192">
        <f t="shared" si="140"/>
        <v>127972320</v>
      </c>
      <c r="AO59" s="214"/>
      <c r="AP59" s="214"/>
      <c r="AQ59" s="214"/>
      <c r="AR59" s="214"/>
      <c r="AS59" s="215" t="str">
        <f t="shared" si="151"/>
        <v/>
      </c>
      <c r="AT59" s="86">
        <f t="shared" si="152"/>
        <v>219067536</v>
      </c>
      <c r="AU59" s="116">
        <f t="shared" si="134"/>
        <v>13</v>
      </c>
      <c r="AV59" s="185" t="str">
        <f t="shared" si="153"/>
        <v/>
      </c>
    </row>
    <row r="60" spans="1:48" s="185" customFormat="1" ht="24.95" customHeight="1" x14ac:dyDescent="0.25">
      <c r="A60" s="202">
        <v>32026</v>
      </c>
      <c r="B60" s="203" t="s">
        <v>65</v>
      </c>
      <c r="C60" s="202" t="s">
        <v>232</v>
      </c>
      <c r="D60" s="202" t="s">
        <v>256</v>
      </c>
      <c r="E60" s="292">
        <f>+G59+1</f>
        <v>46103</v>
      </c>
      <c r="F60" s="204" t="s">
        <v>255</v>
      </c>
      <c r="G60" s="293">
        <v>46115</v>
      </c>
      <c r="H60" s="202" t="s">
        <v>30</v>
      </c>
      <c r="I60" s="205">
        <v>8030.16</v>
      </c>
      <c r="J60" s="205">
        <v>147000</v>
      </c>
      <c r="K60" s="206">
        <f t="shared" si="149"/>
        <v>1180433520</v>
      </c>
      <c r="L60" s="207">
        <v>35</v>
      </c>
      <c r="M60" s="208"/>
      <c r="N60" s="209"/>
      <c r="O60" s="210">
        <f t="shared" si="141"/>
        <v>136111.11111111109</v>
      </c>
      <c r="P60" s="211">
        <f t="shared" si="142"/>
        <v>1092993999.9999998</v>
      </c>
      <c r="Q60" s="211">
        <f t="shared" si="143"/>
        <v>87439519.999999985</v>
      </c>
      <c r="R60" s="212">
        <f t="shared" si="144"/>
        <v>1180433519.9999998</v>
      </c>
      <c r="S60" s="209">
        <f t="shared" si="145"/>
        <v>0</v>
      </c>
      <c r="T60" s="209">
        <f t="shared" si="146"/>
        <v>0</v>
      </c>
      <c r="U60" s="209">
        <f t="shared" si="147"/>
        <v>0</v>
      </c>
      <c r="V60" s="213" t="s">
        <v>62</v>
      </c>
      <c r="W60" s="187">
        <f>+Table2[[#This Row],[Tổng cộng]]-SUM(X60:Z60)</f>
        <v>0</v>
      </c>
      <c r="X60" s="187">
        <v>1180433519.9999998</v>
      </c>
      <c r="Y60" s="304"/>
      <c r="Z60" s="83"/>
      <c r="AA60" s="83"/>
      <c r="AB60" s="188"/>
      <c r="AC60" s="304">
        <v>42652569</v>
      </c>
      <c r="AD60" s="300"/>
      <c r="AE60" s="202"/>
      <c r="AF60" s="205"/>
      <c r="AG60" s="202"/>
      <c r="AH60" s="202"/>
      <c r="AI60" s="202"/>
      <c r="AJ60" s="202"/>
      <c r="AK60" s="202"/>
      <c r="AL60" s="202" t="str">
        <f t="shared" si="150"/>
        <v/>
      </c>
      <c r="AM60" s="214"/>
      <c r="AN60" s="202" t="str">
        <f t="shared" ref="AN60:AN64" si="154">+IF($V60="Cty Hoàng Long",$K60, "")</f>
        <v/>
      </c>
      <c r="AO60" s="214"/>
      <c r="AP60" s="214"/>
      <c r="AQ60" s="214"/>
      <c r="AR60" s="214"/>
      <c r="AS60" s="215" t="str">
        <f t="shared" si="151"/>
        <v/>
      </c>
      <c r="AT60" s="86">
        <f t="shared" si="152"/>
        <v>42652569</v>
      </c>
      <c r="AU60" s="116">
        <f t="shared" si="134"/>
        <v>12</v>
      </c>
      <c r="AV60" s="185" t="str">
        <f t="shared" si="153"/>
        <v/>
      </c>
    </row>
    <row r="61" spans="1:48" s="185" customFormat="1" ht="24.95" customHeight="1" x14ac:dyDescent="0.25">
      <c r="A61" s="202">
        <v>42026</v>
      </c>
      <c r="B61" s="203" t="s">
        <v>65</v>
      </c>
      <c r="C61" s="202" t="s">
        <v>246</v>
      </c>
      <c r="D61" s="202" t="s">
        <v>66</v>
      </c>
      <c r="E61" s="292">
        <f>+G60+1</f>
        <v>46116</v>
      </c>
      <c r="F61" s="204" t="s">
        <v>85</v>
      </c>
      <c r="G61" s="293">
        <v>46123</v>
      </c>
      <c r="H61" s="202" t="s">
        <v>15</v>
      </c>
      <c r="I61" s="205">
        <v>7814.6</v>
      </c>
      <c r="J61" s="205">
        <v>107000</v>
      </c>
      <c r="K61" s="206">
        <f t="shared" si="149"/>
        <v>836162200</v>
      </c>
      <c r="L61" s="207">
        <v>39</v>
      </c>
      <c r="M61" s="208"/>
      <c r="N61" s="209"/>
      <c r="O61" s="210">
        <f t="shared" si="141"/>
        <v>99074.074074074073</v>
      </c>
      <c r="P61" s="211">
        <f t="shared" si="142"/>
        <v>774224259.25925934</v>
      </c>
      <c r="Q61" s="211">
        <f t="shared" si="143"/>
        <v>61937940.740740746</v>
      </c>
      <c r="R61" s="212">
        <f t="shared" si="144"/>
        <v>836162200.00000012</v>
      </c>
      <c r="S61" s="209">
        <f t="shared" si="145"/>
        <v>0</v>
      </c>
      <c r="T61" s="209">
        <f t="shared" si="146"/>
        <v>0</v>
      </c>
      <c r="U61" s="209">
        <f t="shared" si="147"/>
        <v>0</v>
      </c>
      <c r="V61" s="213" t="s">
        <v>63</v>
      </c>
      <c r="W61" s="187">
        <f>+Table2[[#This Row],[Tổng cộng]]-SUM(X61:Z61)</f>
        <v>836162200.00000012</v>
      </c>
      <c r="X61" s="187"/>
      <c r="Y61" s="304"/>
      <c r="Z61" s="83"/>
      <c r="AA61" s="83"/>
      <c r="AB61" s="188"/>
      <c r="AC61" s="186"/>
      <c r="AD61" s="209">
        <v>64699340</v>
      </c>
      <c r="AE61" s="202"/>
      <c r="AF61" s="205"/>
      <c r="AG61" s="202"/>
      <c r="AH61" s="202"/>
      <c r="AI61" s="202"/>
      <c r="AJ61" s="202"/>
      <c r="AK61" s="202"/>
      <c r="AL61" s="202" t="str">
        <f t="shared" si="150"/>
        <v/>
      </c>
      <c r="AM61" s="214"/>
      <c r="AN61" s="202" t="str">
        <f t="shared" si="154"/>
        <v/>
      </c>
      <c r="AO61" s="214"/>
      <c r="AP61" s="214"/>
      <c r="AQ61" s="214"/>
      <c r="AR61" s="214"/>
      <c r="AS61" s="215" t="str">
        <f t="shared" si="151"/>
        <v/>
      </c>
      <c r="AT61" s="86"/>
      <c r="AU61" s="116">
        <f t="shared" si="134"/>
        <v>7</v>
      </c>
      <c r="AV61" s="185" t="str">
        <f t="shared" si="153"/>
        <v/>
      </c>
    </row>
    <row r="62" spans="1:48" s="185" customFormat="1" ht="24.95" customHeight="1" x14ac:dyDescent="0.25">
      <c r="A62" s="202">
        <v>42026</v>
      </c>
      <c r="B62" s="203" t="s">
        <v>65</v>
      </c>
      <c r="C62" s="202" t="s">
        <v>250</v>
      </c>
      <c r="D62" s="202" t="s">
        <v>17</v>
      </c>
      <c r="E62" s="292">
        <f>+G61+1</f>
        <v>46124</v>
      </c>
      <c r="F62" s="204" t="s">
        <v>24</v>
      </c>
      <c r="G62" s="293">
        <v>46132</v>
      </c>
      <c r="H62" s="202" t="s">
        <v>35</v>
      </c>
      <c r="I62" s="205">
        <v>7794</v>
      </c>
      <c r="J62" s="205">
        <v>258000</v>
      </c>
      <c r="K62" s="206">
        <f t="shared" si="149"/>
        <v>2010852000</v>
      </c>
      <c r="L62" s="207">
        <v>43</v>
      </c>
      <c r="M62" s="208"/>
      <c r="N62" s="209"/>
      <c r="O62" s="210">
        <f t="shared" si="141"/>
        <v>238888.88888888888</v>
      </c>
      <c r="P62" s="211">
        <f t="shared" si="142"/>
        <v>1861900000</v>
      </c>
      <c r="Q62" s="211">
        <f t="shared" si="143"/>
        <v>148952000</v>
      </c>
      <c r="R62" s="212">
        <f t="shared" si="144"/>
        <v>2010852000</v>
      </c>
      <c r="S62" s="209">
        <f t="shared" si="145"/>
        <v>0</v>
      </c>
      <c r="T62" s="209">
        <f t="shared" si="146"/>
        <v>0</v>
      </c>
      <c r="U62" s="209">
        <f t="shared" si="147"/>
        <v>0</v>
      </c>
      <c r="V62" s="213" t="s">
        <v>62</v>
      </c>
      <c r="W62" s="187">
        <f>+Table2[[#This Row],[Tổng cộng]]-SUM(X62:Z62)</f>
        <v>2010852000</v>
      </c>
      <c r="X62" s="187"/>
      <c r="Y62" s="304"/>
      <c r="Z62" s="83"/>
      <c r="AA62" s="83"/>
      <c r="AB62" s="188"/>
      <c r="AC62" s="186">
        <f>+AD59+AC48+AC60</f>
        <v>128111569</v>
      </c>
      <c r="AD62" s="209"/>
      <c r="AE62" s="202"/>
      <c r="AF62" s="205"/>
      <c r="AG62" s="202"/>
      <c r="AH62" s="202"/>
      <c r="AI62" s="202"/>
      <c r="AJ62" s="202"/>
      <c r="AK62" s="202"/>
      <c r="AL62" s="202"/>
      <c r="AM62" s="214"/>
      <c r="AN62" s="202"/>
      <c r="AO62" s="214"/>
      <c r="AP62" s="214"/>
      <c r="AQ62" s="214"/>
      <c r="AR62" s="214"/>
      <c r="AS62" s="215"/>
      <c r="AT62" s="86"/>
      <c r="AU62" s="116"/>
    </row>
    <row r="63" spans="1:48" s="185" customFormat="1" ht="24.95" customHeight="1" x14ac:dyDescent="0.25">
      <c r="A63" s="202">
        <v>42026</v>
      </c>
      <c r="B63" s="203" t="s">
        <v>65</v>
      </c>
      <c r="C63" s="202" t="s">
        <v>258</v>
      </c>
      <c r="D63" s="202" t="s">
        <v>17</v>
      </c>
      <c r="E63" s="292">
        <f>+G62+1</f>
        <v>46133</v>
      </c>
      <c r="F63" s="204" t="s">
        <v>24</v>
      </c>
      <c r="G63" s="293">
        <v>46146</v>
      </c>
      <c r="H63" s="202" t="s">
        <v>35</v>
      </c>
      <c r="I63" s="205">
        <v>7497</v>
      </c>
      <c r="J63" s="205">
        <v>248000</v>
      </c>
      <c r="K63" s="206">
        <f t="shared" ref="K63" si="155">I63*J63</f>
        <v>1859256000</v>
      </c>
      <c r="L63" s="207">
        <v>48</v>
      </c>
      <c r="M63" s="208"/>
      <c r="N63" s="209"/>
      <c r="O63" s="210">
        <f t="shared" si="141"/>
        <v>229629.62962962961</v>
      </c>
      <c r="P63" s="211">
        <f t="shared" si="142"/>
        <v>1721533333.3333333</v>
      </c>
      <c r="Q63" s="211">
        <f t="shared" si="143"/>
        <v>137722666.66666666</v>
      </c>
      <c r="R63" s="212">
        <f t="shared" si="144"/>
        <v>1859256000</v>
      </c>
      <c r="S63" s="209">
        <f t="shared" si="145"/>
        <v>0</v>
      </c>
      <c r="T63" s="209">
        <f t="shared" si="146"/>
        <v>0</v>
      </c>
      <c r="U63" s="209">
        <f t="shared" si="147"/>
        <v>0</v>
      </c>
      <c r="V63" s="213" t="s">
        <v>62</v>
      </c>
      <c r="W63" s="187">
        <f>+Table2[[#This Row],[Tổng cộng]]-SUM(X63:Z63)</f>
        <v>1859256000</v>
      </c>
      <c r="X63" s="187"/>
      <c r="Y63" s="304"/>
      <c r="Z63" s="83"/>
      <c r="AA63" s="83"/>
      <c r="AB63" s="188"/>
      <c r="AC63" s="186"/>
      <c r="AD63" s="209"/>
      <c r="AE63" s="202"/>
      <c r="AF63" s="205"/>
      <c r="AG63" s="202"/>
      <c r="AH63" s="202"/>
      <c r="AI63" s="202"/>
      <c r="AJ63" s="202"/>
      <c r="AK63" s="202"/>
      <c r="AL63" s="202" t="str">
        <f t="shared" si="150"/>
        <v/>
      </c>
      <c r="AM63" s="214"/>
      <c r="AN63" s="202" t="str">
        <f t="shared" si="154"/>
        <v/>
      </c>
      <c r="AO63" s="214"/>
      <c r="AP63" s="214"/>
      <c r="AQ63" s="214"/>
      <c r="AR63" s="214"/>
      <c r="AS63" s="215" t="str">
        <f t="shared" si="151"/>
        <v/>
      </c>
      <c r="AT63" s="86">
        <f t="shared" si="152"/>
        <v>0</v>
      </c>
      <c r="AU63" s="116">
        <f>+G63-E63</f>
        <v>13</v>
      </c>
      <c r="AV63" s="185" t="str">
        <f t="shared" si="153"/>
        <v/>
      </c>
    </row>
    <row r="64" spans="1:48" s="185" customFormat="1" ht="24.95" customHeight="1" x14ac:dyDescent="0.25">
      <c r="A64" s="202"/>
      <c r="B64" s="203" t="s">
        <v>65</v>
      </c>
      <c r="C64" s="202"/>
      <c r="D64" s="202"/>
      <c r="E64" s="292"/>
      <c r="F64" s="204"/>
      <c r="G64" s="293"/>
      <c r="H64" s="202"/>
      <c r="I64" s="205"/>
      <c r="J64" s="205"/>
      <c r="K64" s="206">
        <f t="shared" si="149"/>
        <v>0</v>
      </c>
      <c r="L64" s="207"/>
      <c r="M64" s="208"/>
      <c r="N64" s="209"/>
      <c r="O64" s="210"/>
      <c r="P64" s="211"/>
      <c r="Q64" s="211"/>
      <c r="R64" s="212"/>
      <c r="S64" s="209"/>
      <c r="T64" s="209"/>
      <c r="U64" s="209"/>
      <c r="V64" s="213"/>
      <c r="W64" s="187">
        <f>+Table2[[#This Row],[Tổng cộng]]-SUM(X64:Z64)</f>
        <v>0</v>
      </c>
      <c r="X64" s="187">
        <v>0</v>
      </c>
      <c r="Y64" s="304"/>
      <c r="Z64" s="83"/>
      <c r="AA64" s="83"/>
      <c r="AB64" s="188"/>
      <c r="AC64" s="186"/>
      <c r="AD64" s="209"/>
      <c r="AE64" s="202"/>
      <c r="AF64" s="205"/>
      <c r="AG64" s="202"/>
      <c r="AH64" s="202"/>
      <c r="AI64" s="202"/>
      <c r="AJ64" s="202"/>
      <c r="AK64" s="202"/>
      <c r="AL64" s="202" t="str">
        <f t="shared" si="150"/>
        <v/>
      </c>
      <c r="AM64" s="214"/>
      <c r="AN64" s="202" t="str">
        <f t="shared" si="154"/>
        <v/>
      </c>
      <c r="AO64" s="214"/>
      <c r="AP64" s="214"/>
      <c r="AQ64" s="214"/>
      <c r="AR64" s="214"/>
      <c r="AS64" s="215" t="str">
        <f t="shared" si="151"/>
        <v/>
      </c>
      <c r="AT64" s="86">
        <f t="shared" si="152"/>
        <v>0</v>
      </c>
      <c r="AU64" s="116">
        <f>+G64-E64</f>
        <v>0</v>
      </c>
      <c r="AV64" s="185" t="str">
        <f t="shared" si="153"/>
        <v/>
      </c>
    </row>
    <row r="65" spans="23:27" x14ac:dyDescent="0.25">
      <c r="W65" s="323">
        <f>+Table2[[#This Row],[Tổng cộng]]-SUM(X65:Z65)</f>
        <v>0</v>
      </c>
      <c r="X65" s="323">
        <v>0</v>
      </c>
      <c r="Y65" s="4"/>
      <c r="Z65" s="83"/>
      <c r="AA65" s="317"/>
    </row>
    <row r="66" spans="23:27" x14ac:dyDescent="0.25">
      <c r="W66" s="323">
        <f>+Table2[[#This Row],[Tổng cộng]]-SUM(X66:Z66)</f>
        <v>0</v>
      </c>
      <c r="X66" s="323">
        <v>0</v>
      </c>
      <c r="Y66" s="4"/>
      <c r="Z66" s="83"/>
      <c r="AA66" s="317"/>
    </row>
    <row r="67" spans="23:27" x14ac:dyDescent="0.25">
      <c r="W67" s="323">
        <f>+Table2[[#This Row],[Tổng cộng]]-SUM(X67:Z67)</f>
        <v>0</v>
      </c>
      <c r="X67" s="323">
        <v>0</v>
      </c>
      <c r="Y67" s="4"/>
      <c r="Z67" s="83"/>
      <c r="AA67" s="317"/>
    </row>
    <row r="68" spans="23:27" x14ac:dyDescent="0.25">
      <c r="W68" s="323">
        <f>+Table2[[#This Row],[Tổng cộng]]-SUM(X68:Z68)</f>
        <v>0</v>
      </c>
      <c r="X68" s="323">
        <v>0</v>
      </c>
      <c r="Y68" s="4"/>
      <c r="Z68" s="83"/>
      <c r="AA68" s="317"/>
    </row>
    <row r="69" spans="23:27" x14ac:dyDescent="0.25">
      <c r="W69" s="323">
        <f>+Table2[[#This Row],[Tổng cộng]]-SUM(X69:Z69)</f>
        <v>0</v>
      </c>
      <c r="X69" s="323">
        <v>0</v>
      </c>
      <c r="Y69" s="4"/>
      <c r="Z69" s="83"/>
      <c r="AA69" s="317"/>
    </row>
    <row r="70" spans="23:27" x14ac:dyDescent="0.25">
      <c r="W70" s="323">
        <f>+Table2[[#This Row],[Tổng cộng]]-SUM(X70:Z70)</f>
        <v>0</v>
      </c>
      <c r="X70" s="323">
        <v>0</v>
      </c>
      <c r="Y70" s="4"/>
      <c r="Z70" s="83"/>
      <c r="AA70" s="317"/>
    </row>
    <row r="71" spans="23:27" x14ac:dyDescent="0.25">
      <c r="W71" s="323">
        <f>+Table2[[#This Row],[Tổng cộng]]-SUM(X71:Z71)</f>
        <v>0</v>
      </c>
      <c r="X71" s="323">
        <v>0</v>
      </c>
      <c r="Y71" s="4"/>
      <c r="Z71" s="83"/>
      <c r="AA71" s="317"/>
    </row>
    <row r="72" spans="23:27" x14ac:dyDescent="0.25">
      <c r="W72" s="323">
        <f>+Table2[[#This Row],[Tổng cộng]]-SUM(X72:Z72)</f>
        <v>0</v>
      </c>
      <c r="X72" s="323">
        <v>0</v>
      </c>
      <c r="Y72" s="4"/>
      <c r="Z72" s="83"/>
      <c r="AA72" s="317"/>
    </row>
    <row r="73" spans="23:27" x14ac:dyDescent="0.25">
      <c r="W73" s="323">
        <f>+Table2[[#This Row],[Tổng cộng]]-SUM(X73:Z73)</f>
        <v>0</v>
      </c>
      <c r="X73" s="323">
        <v>0</v>
      </c>
      <c r="Y73" s="4"/>
      <c r="Z73" s="83"/>
      <c r="AA73" s="317"/>
    </row>
    <row r="74" spans="23:27" x14ac:dyDescent="0.25">
      <c r="W74" s="323">
        <f>+Table2[[#This Row],[Tổng cộng]]-SUM(X74:Z74)</f>
        <v>0</v>
      </c>
      <c r="X74" s="323">
        <v>0</v>
      </c>
      <c r="Y74" s="4"/>
      <c r="Z74" s="83"/>
      <c r="AA74" s="317"/>
    </row>
    <row r="75" spans="23:27" x14ac:dyDescent="0.25">
      <c r="W75" s="323">
        <f>+Table2[[#This Row],[Tổng cộng]]-SUM(X75:Z75)</f>
        <v>0</v>
      </c>
      <c r="X75" s="323">
        <v>0</v>
      </c>
      <c r="Y75" s="4"/>
      <c r="Z75" s="83"/>
      <c r="AA75" s="317"/>
    </row>
    <row r="76" spans="23:27" x14ac:dyDescent="0.25">
      <c r="W76" s="323">
        <f>+Table2[[#This Row],[Tổng cộng]]-SUM(X76:Z76)</f>
        <v>0</v>
      </c>
      <c r="X76" s="323">
        <v>0</v>
      </c>
      <c r="Y76" s="4"/>
      <c r="Z76" s="83"/>
      <c r="AA76" s="317"/>
    </row>
    <row r="77" spans="23:27" x14ac:dyDescent="0.25">
      <c r="W77" s="323">
        <f>+Table2[[#This Row],[Tổng cộng]]-SUM(X77:Z77)</f>
        <v>0</v>
      </c>
      <c r="X77" s="323">
        <v>0</v>
      </c>
      <c r="Y77" s="4"/>
      <c r="Z77" s="83"/>
      <c r="AA77" s="317"/>
    </row>
    <row r="78" spans="23:27" x14ac:dyDescent="0.25">
      <c r="W78" s="323">
        <f>+Table2[[#This Row],[Tổng cộng]]-SUM(X78:Z78)</f>
        <v>0</v>
      </c>
      <c r="X78" s="323">
        <v>0</v>
      </c>
      <c r="Y78" s="4"/>
      <c r="Z78" s="83"/>
      <c r="AA78" s="317"/>
    </row>
    <row r="79" spans="23:27" x14ac:dyDescent="0.25">
      <c r="W79" s="323">
        <f>+Table2[[#This Row],[Tổng cộng]]-SUM(X79:Z79)</f>
        <v>0</v>
      </c>
      <c r="X79" s="323">
        <v>0</v>
      </c>
      <c r="Y79" s="4"/>
      <c r="Z79" s="83"/>
      <c r="AA79" s="317"/>
    </row>
    <row r="80" spans="23:27" x14ac:dyDescent="0.25">
      <c r="W80" s="323">
        <f>+Table2[[#This Row],[Tổng cộng]]-SUM(X80:Z80)</f>
        <v>0</v>
      </c>
      <c r="X80" s="323">
        <v>0</v>
      </c>
      <c r="Y80" s="4"/>
      <c r="Z80" s="83"/>
      <c r="AA80" s="317"/>
    </row>
    <row r="81" spans="23:27" x14ac:dyDescent="0.25">
      <c r="W81" s="323">
        <f>+Table2[[#This Row],[Tổng cộng]]-SUM(X81:Z81)</f>
        <v>0</v>
      </c>
      <c r="X81" s="323">
        <v>0</v>
      </c>
      <c r="Y81" s="4"/>
      <c r="Z81" s="83"/>
      <c r="AA81" s="317"/>
    </row>
    <row r="82" spans="23:27" x14ac:dyDescent="0.25">
      <c r="W82" s="323">
        <f>+Table2[[#This Row],[Tổng cộng]]-SUM(X82:Z82)</f>
        <v>0</v>
      </c>
      <c r="X82" s="323">
        <v>0</v>
      </c>
      <c r="Y82" s="4"/>
      <c r="Z82" s="83"/>
      <c r="AA82" s="317"/>
    </row>
  </sheetData>
  <mergeCells count="3">
    <mergeCell ref="AC2:AS2"/>
    <mergeCell ref="B2:V2"/>
    <mergeCell ref="B1:AR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AD8E-FC9D-4634-9A79-F155E0A5804E}">
  <dimension ref="A1:U46"/>
  <sheetViews>
    <sheetView workbookViewId="0">
      <selection activeCell="J10" sqref="J10"/>
    </sheetView>
  </sheetViews>
  <sheetFormatPr defaultRowHeight="15" x14ac:dyDescent="0.25"/>
  <cols>
    <col min="1" max="1" width="12.42578125" style="1" bestFit="1" customWidth="1"/>
    <col min="2" max="2" width="12.28515625" style="1" bestFit="1" customWidth="1"/>
    <col min="3" max="3" width="11.42578125" style="1" customWidth="1"/>
    <col min="4" max="4" width="12.5703125" style="1" bestFit="1" customWidth="1"/>
    <col min="5" max="5" width="13.7109375" style="1" bestFit="1" customWidth="1"/>
    <col min="6" max="6" width="12.7109375" style="1" bestFit="1" customWidth="1"/>
    <col min="7" max="7" width="9.140625" style="1"/>
    <col min="8" max="8" width="17.5703125" style="1" bestFit="1" customWidth="1"/>
    <col min="9" max="9" width="11.7109375" style="1" customWidth="1"/>
    <col min="10" max="10" width="19.85546875" style="1" bestFit="1" customWidth="1"/>
    <col min="11" max="11" width="15" style="1" bestFit="1" customWidth="1"/>
    <col min="12" max="12" width="9.140625" style="1"/>
    <col min="13" max="13" width="22" style="1" bestFit="1" customWidth="1"/>
    <col min="14" max="14" width="13" style="1" customWidth="1"/>
    <col min="15" max="15" width="15.7109375" style="1" bestFit="1" customWidth="1"/>
    <col min="16" max="16" width="15" style="1" bestFit="1" customWidth="1"/>
    <col min="17" max="17" width="9.140625" style="1"/>
    <col min="18" max="18" width="22" style="1" bestFit="1" customWidth="1"/>
    <col min="19" max="19" width="13" style="1" customWidth="1"/>
    <col min="20" max="20" width="15.7109375" style="1" bestFit="1" customWidth="1"/>
    <col min="21" max="21" width="15" style="1" bestFit="1" customWidth="1"/>
    <col min="22" max="16384" width="9.140625" style="1"/>
  </cols>
  <sheetData>
    <row r="1" spans="1:21" x14ac:dyDescent="0.25">
      <c r="A1" s="1" t="s">
        <v>70</v>
      </c>
      <c r="B1" s="1" t="s">
        <v>73</v>
      </c>
      <c r="C1" s="1" t="s">
        <v>71</v>
      </c>
      <c r="D1" s="1" t="s">
        <v>53</v>
      </c>
      <c r="E1" s="1" t="s">
        <v>72</v>
      </c>
      <c r="F1" s="1" t="s">
        <v>97</v>
      </c>
      <c r="G1" s="1" t="s">
        <v>51</v>
      </c>
    </row>
    <row r="2" spans="1:21" x14ac:dyDescent="0.25">
      <c r="A2" s="1" t="s">
        <v>2</v>
      </c>
      <c r="B2" s="1">
        <v>4000</v>
      </c>
      <c r="C2" s="5">
        <v>48500000</v>
      </c>
      <c r="D2" s="5">
        <v>209633000</v>
      </c>
      <c r="E2" s="5">
        <v>10069583</v>
      </c>
      <c r="F2" s="1">
        <v>95</v>
      </c>
      <c r="H2" s="5">
        <f>+E2*3</f>
        <v>30208749</v>
      </c>
    </row>
    <row r="3" spans="1:21" x14ac:dyDescent="0.25">
      <c r="A3" s="1" t="s">
        <v>0</v>
      </c>
      <c r="B3" s="1">
        <v>4700</v>
      </c>
      <c r="C3" s="5">
        <v>41180000</v>
      </c>
      <c r="D3" s="5">
        <v>235647000</v>
      </c>
      <c r="E3" s="5">
        <v>12061667</v>
      </c>
      <c r="F3" s="1">
        <v>110</v>
      </c>
      <c r="H3" s="5">
        <f t="shared" ref="H3:H6" si="0">+E3*3</f>
        <v>36185001</v>
      </c>
    </row>
    <row r="4" spans="1:21" x14ac:dyDescent="0.25">
      <c r="A4" s="1" t="s">
        <v>11</v>
      </c>
      <c r="B4" s="1">
        <v>4700</v>
      </c>
      <c r="C4" s="5">
        <v>40680000</v>
      </c>
      <c r="D4" s="5">
        <v>203300000</v>
      </c>
      <c r="E4" s="5">
        <v>11511042</v>
      </c>
      <c r="F4" s="1">
        <v>100</v>
      </c>
      <c r="H4" s="5">
        <f t="shared" si="0"/>
        <v>34533126</v>
      </c>
    </row>
    <row r="5" spans="1:21" x14ac:dyDescent="0.25">
      <c r="A5" s="1" t="s">
        <v>65</v>
      </c>
      <c r="B5" s="1">
        <v>8100</v>
      </c>
      <c r="C5" s="5">
        <v>50000000</v>
      </c>
      <c r="D5" s="5">
        <v>230000000</v>
      </c>
      <c r="E5" s="5">
        <f>280000000/12</f>
        <v>23333333.333333332</v>
      </c>
      <c r="F5" s="1">
        <v>204</v>
      </c>
      <c r="H5" s="5">
        <f t="shared" si="0"/>
        <v>70000000</v>
      </c>
      <c r="I5" s="1">
        <f>139122/6</f>
        <v>23187</v>
      </c>
    </row>
    <row r="6" spans="1:21" x14ac:dyDescent="0.25">
      <c r="A6" s="1" t="s">
        <v>1</v>
      </c>
      <c r="B6" s="1">
        <v>4800</v>
      </c>
      <c r="C6" s="5">
        <v>42545000</v>
      </c>
      <c r="D6" s="5">
        <v>207122000</v>
      </c>
      <c r="E6" s="5">
        <v>13653750</v>
      </c>
      <c r="F6" s="1">
        <v>130</v>
      </c>
      <c r="H6" s="5">
        <f t="shared" si="0"/>
        <v>40961250</v>
      </c>
    </row>
    <row r="10" spans="1:21" x14ac:dyDescent="0.25">
      <c r="A10" s="1" t="s">
        <v>82</v>
      </c>
      <c r="B10" s="1" t="s">
        <v>83</v>
      </c>
      <c r="C10" s="1" t="s">
        <v>55</v>
      </c>
      <c r="D10" s="1" t="s">
        <v>84</v>
      </c>
      <c r="E10" s="1" t="s">
        <v>87</v>
      </c>
      <c r="H10" s="2" t="s">
        <v>70</v>
      </c>
      <c r="I10" s="2"/>
      <c r="J10" s="2" t="s">
        <v>1</v>
      </c>
      <c r="K10" s="2" t="s">
        <v>19</v>
      </c>
      <c r="M10" s="2" t="s">
        <v>70</v>
      </c>
      <c r="N10" s="2"/>
      <c r="O10" s="2" t="s">
        <v>65</v>
      </c>
      <c r="P10" s="2" t="s">
        <v>19</v>
      </c>
      <c r="R10" s="2" t="s">
        <v>70</v>
      </c>
      <c r="S10" s="2"/>
      <c r="T10" s="2" t="s">
        <v>65</v>
      </c>
      <c r="U10" s="2" t="s">
        <v>19</v>
      </c>
    </row>
    <row r="11" spans="1:21" x14ac:dyDescent="0.25">
      <c r="A11" s="1">
        <v>0</v>
      </c>
      <c r="B11" s="5">
        <v>0</v>
      </c>
      <c r="C11" s="5"/>
      <c r="D11" s="5"/>
      <c r="H11" s="2" t="s">
        <v>73</v>
      </c>
      <c r="I11" s="2"/>
      <c r="J11" s="2">
        <f>INDEX($B$2:$B$6, MATCH($J$10, $A$2:$A$6, 0))</f>
        <v>4800</v>
      </c>
      <c r="K11" s="2">
        <v>4587</v>
      </c>
      <c r="M11" s="2" t="s">
        <v>73</v>
      </c>
      <c r="N11" s="2"/>
      <c r="O11" s="2">
        <f>INDEX($B$2:$B$6, MATCH($J$10, $A$2:$A$6, 0))</f>
        <v>4800</v>
      </c>
      <c r="P11" s="2"/>
      <c r="R11" s="2" t="s">
        <v>73</v>
      </c>
      <c r="S11" s="2"/>
      <c r="T11" s="2">
        <f>INDEX($B$2:$B$6, MATCH($J$10, $A$2:$A$6, 0))</f>
        <v>4800</v>
      </c>
      <c r="U11" s="2"/>
    </row>
    <row r="12" spans="1:21" x14ac:dyDescent="0.25">
      <c r="A12" s="1" t="s">
        <v>85</v>
      </c>
      <c r="B12" s="5">
        <v>35000000</v>
      </c>
      <c r="C12" s="5"/>
      <c r="D12" s="5"/>
      <c r="H12" s="2" t="s">
        <v>74</v>
      </c>
      <c r="I12" s="2"/>
      <c r="J12" s="3">
        <v>130000</v>
      </c>
      <c r="K12" s="2"/>
      <c r="M12" s="2" t="s">
        <v>74</v>
      </c>
      <c r="N12" s="2"/>
      <c r="O12" s="3">
        <v>180000</v>
      </c>
      <c r="P12" s="2"/>
      <c r="R12" s="2" t="s">
        <v>74</v>
      </c>
      <c r="S12" s="2"/>
      <c r="T12" s="3">
        <v>118000</v>
      </c>
      <c r="U12" s="2"/>
    </row>
    <row r="13" spans="1:21" x14ac:dyDescent="0.25">
      <c r="A13" s="1" t="s">
        <v>30</v>
      </c>
      <c r="B13" s="5">
        <v>35000000</v>
      </c>
      <c r="C13" s="5"/>
      <c r="D13" s="5"/>
      <c r="H13" s="14" t="s">
        <v>75</v>
      </c>
      <c r="I13" s="14"/>
      <c r="J13" s="15">
        <f>+J12*MIN(K11,J11)</f>
        <v>596310000</v>
      </c>
      <c r="K13" s="2" t="s">
        <v>159</v>
      </c>
      <c r="M13" s="14" t="s">
        <v>75</v>
      </c>
      <c r="N13" s="14"/>
      <c r="O13" s="15">
        <f>+O12*MIN(P11,O11)</f>
        <v>864000000</v>
      </c>
      <c r="P13" s="2" t="s">
        <v>159</v>
      </c>
      <c r="R13" s="14" t="s">
        <v>75</v>
      </c>
      <c r="S13" s="14"/>
      <c r="T13" s="15">
        <f>+T12*MIN(U11,T11)</f>
        <v>566400000</v>
      </c>
      <c r="U13" s="2" t="s">
        <v>159</v>
      </c>
    </row>
    <row r="14" spans="1:21" x14ac:dyDescent="0.25">
      <c r="A14" s="1" t="s">
        <v>88</v>
      </c>
      <c r="B14" s="5"/>
      <c r="C14" s="5">
        <v>30000000</v>
      </c>
      <c r="D14" s="5"/>
      <c r="H14" s="2" t="s">
        <v>69</v>
      </c>
      <c r="I14" s="2"/>
      <c r="J14" s="2">
        <v>11</v>
      </c>
      <c r="K14" s="2">
        <v>108</v>
      </c>
      <c r="M14" s="2" t="s">
        <v>69</v>
      </c>
      <c r="N14" s="2"/>
      <c r="O14" s="2">
        <v>10</v>
      </c>
      <c r="P14" s="2">
        <v>96</v>
      </c>
      <c r="R14" s="2" t="s">
        <v>69</v>
      </c>
      <c r="S14" s="2"/>
      <c r="T14" s="2">
        <v>12</v>
      </c>
      <c r="U14" s="2">
        <v>116</v>
      </c>
    </row>
    <row r="15" spans="1:21" x14ac:dyDescent="0.25">
      <c r="A15" s="1" t="s">
        <v>89</v>
      </c>
      <c r="B15" s="5"/>
      <c r="C15" s="5">
        <v>40000000</v>
      </c>
      <c r="D15" s="5"/>
      <c r="H15" s="2" t="s">
        <v>77</v>
      </c>
      <c r="I15" s="2"/>
      <c r="J15" s="3">
        <f>SUM(INDEX($C$2:$E$6,MATCH($J$10,$A$2:$A$6,0),0))/30*J14</f>
        <v>96550941.666666672</v>
      </c>
      <c r="K15" s="2"/>
      <c r="M15" s="2" t="s">
        <v>77</v>
      </c>
      <c r="N15" s="2"/>
      <c r="O15" s="3">
        <f>SUM(INDEX($C$2:$E$6,MATCH($O$10,$A$2:$A$6,0),0))/30*O14</f>
        <v>101111111.1111111</v>
      </c>
      <c r="P15" s="2"/>
      <c r="R15" s="2" t="s">
        <v>77</v>
      </c>
      <c r="S15" s="2"/>
      <c r="T15" s="3">
        <f>SUM(INDEX($C$2:$E$6,MATCH($O$10,$A$2:$A$6,0),0))/30*T14</f>
        <v>121333333.33333331</v>
      </c>
      <c r="U15" s="2"/>
    </row>
    <row r="16" spans="1:21" x14ac:dyDescent="0.25">
      <c r="A16" s="1" t="s">
        <v>90</v>
      </c>
      <c r="B16" s="5"/>
      <c r="C16" s="5">
        <v>45000000</v>
      </c>
      <c r="D16" s="5"/>
      <c r="H16" s="2"/>
      <c r="I16" s="2"/>
      <c r="J16" s="3"/>
      <c r="K16" s="2"/>
      <c r="M16" s="2"/>
      <c r="N16" s="2"/>
      <c r="O16" s="3"/>
      <c r="P16" s="2"/>
      <c r="R16" s="2"/>
      <c r="S16" s="2"/>
      <c r="T16" s="3"/>
      <c r="U16" s="2"/>
    </row>
    <row r="17" spans="1:21" x14ac:dyDescent="0.25">
      <c r="A17" s="1" t="s">
        <v>38</v>
      </c>
      <c r="B17" s="5"/>
      <c r="C17" s="5">
        <v>38000000</v>
      </c>
      <c r="D17" s="5"/>
      <c r="H17" s="2" t="s">
        <v>80</v>
      </c>
      <c r="I17" s="2" t="s">
        <v>36</v>
      </c>
      <c r="J17" s="3">
        <f>SUM(INDEX($B$11:$D$46,MATCH($I$17,$A$11:$A$46,0),0))</f>
        <v>68550000</v>
      </c>
      <c r="K17" s="3"/>
      <c r="M17" s="2" t="s">
        <v>80</v>
      </c>
      <c r="N17" s="2">
        <v>0</v>
      </c>
      <c r="O17" s="3">
        <f>SUM(INDEX($B$11:$D$46,MATCH(N17,$A$11:$A$46,0),0))</f>
        <v>0</v>
      </c>
      <c r="P17" s="3">
        <f>26000000+6500000+5500000</f>
        <v>38000000</v>
      </c>
      <c r="R17" s="2" t="s">
        <v>80</v>
      </c>
      <c r="S17" s="2">
        <v>0</v>
      </c>
      <c r="T17" s="3">
        <f>SUM(INDEX($B$11:$D$46,MATCH(S17,$A$11:$A$46,0),0))</f>
        <v>0</v>
      </c>
      <c r="U17" s="3">
        <f>26000000+6500000+5500000</f>
        <v>38000000</v>
      </c>
    </row>
    <row r="18" spans="1:21" x14ac:dyDescent="0.25">
      <c r="A18" s="1" t="s">
        <v>67</v>
      </c>
      <c r="B18" s="5">
        <v>40000000</v>
      </c>
      <c r="C18" s="5"/>
      <c r="D18" s="5"/>
      <c r="H18" s="2" t="s">
        <v>81</v>
      </c>
      <c r="I18" s="2" t="s">
        <v>39</v>
      </c>
      <c r="J18" s="3">
        <f>SUM(INDEX($B$11:$D$46,MATCH($I$18,$A$11:$A$46,0),0))</f>
        <v>32000000</v>
      </c>
      <c r="K18" s="3"/>
      <c r="M18" s="2" t="s">
        <v>81</v>
      </c>
      <c r="N18" s="2">
        <v>0</v>
      </c>
      <c r="O18" s="3">
        <f>SUM(INDEX($B$11:$D$46,MATCH(N18,$A$11:$A$46,0),0))</f>
        <v>0</v>
      </c>
      <c r="P18" s="3">
        <v>37000000</v>
      </c>
      <c r="R18" s="2" t="s">
        <v>81</v>
      </c>
      <c r="S18" s="2">
        <v>0</v>
      </c>
      <c r="T18" s="3">
        <f>SUM(INDEX($B$11:$D$46,MATCH(S18,$A$11:$A$46,0),0))</f>
        <v>0</v>
      </c>
      <c r="U18" s="3">
        <v>37000000</v>
      </c>
    </row>
    <row r="19" spans="1:21" x14ac:dyDescent="0.25">
      <c r="A19" s="1" t="s">
        <v>24</v>
      </c>
      <c r="B19" s="5">
        <v>45000000</v>
      </c>
      <c r="C19" s="5"/>
      <c r="D19" s="5"/>
      <c r="H19" s="2" t="s">
        <v>50</v>
      </c>
      <c r="I19" s="2"/>
      <c r="J19" s="3">
        <f>+K14*VLOOKUP(J$10,A$1:G$6,6,FALSE)*17000</f>
        <v>238680000</v>
      </c>
      <c r="K19" s="2"/>
      <c r="M19" s="2" t="s">
        <v>50</v>
      </c>
      <c r="N19" s="2"/>
      <c r="O19" s="3">
        <f>+P14*$F$5*20000</f>
        <v>391680000</v>
      </c>
      <c r="P19" s="2"/>
      <c r="R19" s="2" t="s">
        <v>50</v>
      </c>
      <c r="S19" s="2"/>
      <c r="T19" s="3">
        <f>+U14*$F$5*20000</f>
        <v>473280000</v>
      </c>
      <c r="U19" s="2"/>
    </row>
    <row r="20" spans="1:21" x14ac:dyDescent="0.25">
      <c r="A20" s="1" t="s">
        <v>15</v>
      </c>
      <c r="B20" s="5"/>
      <c r="C20" s="5">
        <v>45000000</v>
      </c>
      <c r="D20" s="5"/>
      <c r="H20" s="2" t="s">
        <v>51</v>
      </c>
      <c r="I20" s="2"/>
      <c r="J20" s="3">
        <v>10000000</v>
      </c>
      <c r="K20" s="2"/>
      <c r="M20" s="2" t="s">
        <v>51</v>
      </c>
      <c r="N20" s="2"/>
      <c r="O20" s="3">
        <v>10000000</v>
      </c>
      <c r="P20" s="2"/>
      <c r="R20" s="2" t="s">
        <v>51</v>
      </c>
      <c r="S20" s="2"/>
      <c r="T20" s="3">
        <v>10000000</v>
      </c>
      <c r="U20" s="2"/>
    </row>
    <row r="21" spans="1:21" x14ac:dyDescent="0.25">
      <c r="A21" s="1" t="s">
        <v>14</v>
      </c>
      <c r="B21" s="5"/>
      <c r="C21" s="5">
        <v>40000000</v>
      </c>
      <c r="D21" s="5"/>
      <c r="H21" s="2" t="s">
        <v>76</v>
      </c>
      <c r="I21" s="2"/>
      <c r="J21" s="3">
        <f>+J13*0.08</f>
        <v>47704800</v>
      </c>
      <c r="K21" s="2"/>
      <c r="M21" s="2" t="s">
        <v>76</v>
      </c>
      <c r="N21" s="2"/>
      <c r="O21" s="3">
        <f>+O13*0.08</f>
        <v>69120000</v>
      </c>
      <c r="P21" s="2"/>
      <c r="R21" s="2" t="s">
        <v>76</v>
      </c>
      <c r="S21" s="2"/>
      <c r="T21" s="3">
        <f>+T13*0.08</f>
        <v>45312000</v>
      </c>
      <c r="U21" s="2"/>
    </row>
    <row r="22" spans="1:21" x14ac:dyDescent="0.25">
      <c r="A22" s="1" t="s">
        <v>39</v>
      </c>
      <c r="B22" s="5"/>
      <c r="C22" s="5">
        <v>32000000</v>
      </c>
      <c r="D22" s="5"/>
      <c r="H22" s="14" t="s">
        <v>79</v>
      </c>
      <c r="I22" s="14"/>
      <c r="J22" s="15">
        <f>+SUM(J15:J21)+K17+K18</f>
        <v>493485741.66666669</v>
      </c>
      <c r="K22" s="2"/>
      <c r="M22" s="14" t="s">
        <v>79</v>
      </c>
      <c r="N22" s="14"/>
      <c r="O22" s="15">
        <f>+SUM(O15:O21)+P17+P18</f>
        <v>646911111.11111116</v>
      </c>
      <c r="P22" s="2"/>
      <c r="R22" s="14" t="s">
        <v>79</v>
      </c>
      <c r="S22" s="14"/>
      <c r="T22" s="15">
        <f>+SUM(T15:T21)+U17+U18</f>
        <v>724925333.33333325</v>
      </c>
      <c r="U22" s="2"/>
    </row>
    <row r="23" spans="1:21" x14ac:dyDescent="0.25">
      <c r="A23" s="1" t="s">
        <v>41</v>
      </c>
      <c r="B23" s="5"/>
      <c r="C23" s="5">
        <v>40000000</v>
      </c>
      <c r="D23" s="5"/>
      <c r="H23" s="14" t="s">
        <v>78</v>
      </c>
      <c r="I23" s="14"/>
      <c r="J23" s="15">
        <f>+J13-J22</f>
        <v>102824258.33333331</v>
      </c>
      <c r="K23" s="2"/>
      <c r="M23" s="14" t="s">
        <v>78</v>
      </c>
      <c r="N23" s="14"/>
      <c r="O23" s="15">
        <f>+O13-O22</f>
        <v>217088888.88888884</v>
      </c>
      <c r="P23" s="2"/>
      <c r="R23" s="14" t="s">
        <v>78</v>
      </c>
      <c r="S23" s="14"/>
      <c r="T23" s="15">
        <f>+T13-T22</f>
        <v>-158525333.33333325</v>
      </c>
      <c r="U23" s="2"/>
    </row>
    <row r="24" spans="1:21" x14ac:dyDescent="0.25">
      <c r="A24" s="1" t="s">
        <v>91</v>
      </c>
      <c r="B24" s="5"/>
      <c r="C24" s="5">
        <v>35000000</v>
      </c>
      <c r="D24" s="5"/>
    </row>
    <row r="25" spans="1:21" x14ac:dyDescent="0.25">
      <c r="A25" s="1" t="s">
        <v>92</v>
      </c>
      <c r="B25" s="5"/>
      <c r="C25" s="5">
        <v>40000000</v>
      </c>
      <c r="D25" s="5"/>
    </row>
    <row r="26" spans="1:21" x14ac:dyDescent="0.25">
      <c r="A26" s="1" t="s">
        <v>93</v>
      </c>
      <c r="B26" s="5">
        <v>35000000</v>
      </c>
      <c r="C26" s="5"/>
      <c r="D26" s="5"/>
    </row>
    <row r="27" spans="1:21" x14ac:dyDescent="0.25">
      <c r="A27" s="1" t="s">
        <v>94</v>
      </c>
      <c r="B27" s="5">
        <v>37000000</v>
      </c>
      <c r="C27" s="5"/>
      <c r="D27" s="5"/>
    </row>
    <row r="28" spans="1:21" x14ac:dyDescent="0.25">
      <c r="A28" s="1" t="s">
        <v>16</v>
      </c>
      <c r="B28" s="5">
        <v>37000000</v>
      </c>
      <c r="C28" s="5"/>
      <c r="D28" s="5"/>
    </row>
    <row r="29" spans="1:21" x14ac:dyDescent="0.25">
      <c r="A29" s="1" t="s">
        <v>86</v>
      </c>
      <c r="B29" s="5">
        <v>35000000</v>
      </c>
      <c r="C29" s="5"/>
      <c r="D29" s="5"/>
    </row>
    <row r="30" spans="1:21" x14ac:dyDescent="0.25">
      <c r="A30" s="1" t="s">
        <v>95</v>
      </c>
      <c r="B30" s="5">
        <v>37000000</v>
      </c>
      <c r="C30" s="5"/>
      <c r="D30" s="5"/>
    </row>
    <row r="31" spans="1:21" x14ac:dyDescent="0.25">
      <c r="A31" s="1" t="s">
        <v>40</v>
      </c>
      <c r="B31" s="5">
        <v>38000000</v>
      </c>
      <c r="C31" s="5"/>
      <c r="D31" s="5"/>
    </row>
    <row r="32" spans="1:21" x14ac:dyDescent="0.25">
      <c r="A32" s="1" t="s">
        <v>96</v>
      </c>
      <c r="B32" s="5">
        <v>38000000</v>
      </c>
      <c r="C32" s="5"/>
      <c r="D32" s="5"/>
    </row>
    <row r="33" spans="1:4" x14ac:dyDescent="0.25">
      <c r="A33" s="1" t="s">
        <v>36</v>
      </c>
      <c r="B33" s="5">
        <v>68550000</v>
      </c>
      <c r="C33" s="5"/>
      <c r="D33" s="5"/>
    </row>
    <row r="34" spans="1:4" x14ac:dyDescent="0.25">
      <c r="B34" s="5"/>
      <c r="C34" s="5"/>
      <c r="D34" s="5"/>
    </row>
    <row r="35" spans="1:4" x14ac:dyDescent="0.25">
      <c r="B35" s="5"/>
      <c r="C35" s="5"/>
      <c r="D35" s="5"/>
    </row>
    <row r="36" spans="1:4" x14ac:dyDescent="0.25">
      <c r="B36" s="5"/>
      <c r="C36" s="5"/>
      <c r="D36" s="5"/>
    </row>
    <row r="37" spans="1:4" x14ac:dyDescent="0.25">
      <c r="B37" s="5"/>
      <c r="C37" s="5"/>
      <c r="D37" s="5"/>
    </row>
    <row r="38" spans="1:4" x14ac:dyDescent="0.25">
      <c r="B38" s="5"/>
      <c r="C38" s="5"/>
      <c r="D38" s="5"/>
    </row>
    <row r="39" spans="1:4" x14ac:dyDescent="0.25">
      <c r="B39" s="5"/>
      <c r="C39" s="5"/>
      <c r="D39" s="5"/>
    </row>
    <row r="40" spans="1:4" x14ac:dyDescent="0.25">
      <c r="B40" s="5"/>
      <c r="C40" s="5"/>
      <c r="D40" s="5"/>
    </row>
    <row r="41" spans="1:4" x14ac:dyDescent="0.25">
      <c r="B41" s="5"/>
      <c r="C41" s="5"/>
      <c r="D41" s="5"/>
    </row>
    <row r="42" spans="1:4" x14ac:dyDescent="0.25">
      <c r="B42" s="5"/>
      <c r="C42" s="5"/>
      <c r="D42" s="5"/>
    </row>
    <row r="43" spans="1:4" x14ac:dyDescent="0.25">
      <c r="B43" s="5"/>
      <c r="C43" s="5"/>
      <c r="D43" s="5"/>
    </row>
    <row r="44" spans="1:4" x14ac:dyDescent="0.25">
      <c r="B44" s="5"/>
      <c r="C44" s="5"/>
      <c r="D44" s="5"/>
    </row>
    <row r="45" spans="1:4" x14ac:dyDescent="0.25">
      <c r="B45" s="5"/>
      <c r="C45" s="5"/>
      <c r="D45" s="5"/>
    </row>
    <row r="46" spans="1:4" x14ac:dyDescent="0.25">
      <c r="B46" s="5"/>
      <c r="C46" s="5"/>
      <c r="D46" s="5"/>
    </row>
  </sheetData>
  <dataValidations count="2">
    <dataValidation type="list" allowBlank="1" showInputMessage="1" showErrorMessage="1" sqref="J10" xr:uid="{1EA8B3FD-4DBE-4F85-8C14-8071874964D7}">
      <formula1>$A$2:$A$6</formula1>
    </dataValidation>
    <dataValidation type="list" allowBlank="1" showInputMessage="1" showErrorMessage="1" sqref="I17:I18" xr:uid="{ADB8A45B-1112-403D-B7C3-ED52B0627A09}">
      <formula1>$A$11:$A$46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2213-9166-4806-8867-34B3156AFCC8}">
  <dimension ref="A1:AT35"/>
  <sheetViews>
    <sheetView topLeftCell="A19" workbookViewId="0">
      <selection activeCell="K10" sqref="K10:K11"/>
    </sheetView>
  </sheetViews>
  <sheetFormatPr defaultRowHeight="15" x14ac:dyDescent="0.25"/>
  <cols>
    <col min="1" max="1" width="9.28515625" style="1" bestFit="1" customWidth="1"/>
    <col min="2" max="3" width="13.85546875" style="1" bestFit="1" customWidth="1"/>
    <col min="4" max="4" width="9.140625" style="1"/>
    <col min="5" max="6" width="13.85546875" style="1" bestFit="1" customWidth="1"/>
    <col min="7" max="7" width="9.28515625" style="1" bestFit="1" customWidth="1"/>
    <col min="8" max="9" width="13.85546875" style="1" bestFit="1" customWidth="1"/>
    <col min="10" max="10" width="12.140625" style="1" customWidth="1"/>
    <col min="11" max="11" width="13.85546875" style="1" bestFit="1" customWidth="1"/>
    <col min="12" max="12" width="13.140625" style="1" bestFit="1" customWidth="1"/>
    <col min="13" max="13" width="9.28515625" style="1" bestFit="1" customWidth="1"/>
    <col min="14" max="15" width="13.85546875" style="1" bestFit="1" customWidth="1"/>
    <col min="16" max="16" width="12.7109375" style="1" bestFit="1" customWidth="1"/>
    <col min="17" max="17" width="11.7109375" style="1" bestFit="1" customWidth="1"/>
    <col min="18" max="19" width="12.7109375" style="1" bestFit="1" customWidth="1"/>
    <col min="20" max="20" width="14.7109375" style="1" customWidth="1"/>
    <col min="21" max="21" width="12.7109375" style="1" bestFit="1" customWidth="1"/>
    <col min="22" max="22" width="15.7109375" style="1" bestFit="1" customWidth="1"/>
    <col min="23" max="30" width="11.7109375" style="1" customWidth="1"/>
    <col min="31" max="31" width="12.85546875" style="1" customWidth="1"/>
    <col min="32" max="32" width="12.28515625" style="1" bestFit="1" customWidth="1"/>
    <col min="33" max="33" width="14" style="1" customWidth="1"/>
    <col min="34" max="39" width="11.7109375" style="1" customWidth="1"/>
    <col min="40" max="40" width="12.28515625" style="1" bestFit="1" customWidth="1"/>
    <col min="41" max="41" width="12.140625" style="1" bestFit="1" customWidth="1"/>
    <col min="42" max="42" width="13.28515625" style="1" bestFit="1" customWidth="1"/>
    <col min="43" max="43" width="9.28515625" style="1" bestFit="1" customWidth="1"/>
    <col min="44" max="46" width="10.140625" style="1" bestFit="1" customWidth="1"/>
    <col min="47" max="16384" width="9.140625" style="1"/>
  </cols>
  <sheetData>
    <row r="1" spans="1:46" ht="17.25" customHeight="1" x14ac:dyDescent="0.25">
      <c r="E1" s="6"/>
      <c r="L1" s="5"/>
      <c r="R1" s="4"/>
      <c r="S1" s="4"/>
      <c r="X1" s="8"/>
      <c r="Y1" s="9"/>
      <c r="Z1" s="5"/>
      <c r="AB1" s="1" t="str">
        <f t="shared" ref="AB1:AC1" si="0">+IF(U1="Cty Ngọc Anh",J1, "")</f>
        <v/>
      </c>
      <c r="AC1" s="1" t="str">
        <f t="shared" si="0"/>
        <v/>
      </c>
      <c r="AE1" s="1" t="str">
        <f>+IF($V1="Cty Hoàng Quyên",$K1, "")</f>
        <v/>
      </c>
      <c r="AF1" s="1" t="str">
        <f>+IF($V1="Cty Hoàng Long",$K1, "")</f>
        <v/>
      </c>
      <c r="AG1" s="1" t="str">
        <f>+IF($V1="Cty An Hưng",$K1, "")</f>
        <v/>
      </c>
      <c r="AH1" s="1" t="str">
        <f>+IF($V1="Cty An Hưng",$K1, "")</f>
        <v/>
      </c>
      <c r="AI1" s="1" t="str">
        <f>+IF($V1="Cty An Hưng",$K1, "")</f>
        <v/>
      </c>
      <c r="AJ1" s="1" t="str">
        <f>+IF($V1="Cty Thành Năm",$K1, "")</f>
        <v/>
      </c>
      <c r="AK1" s="1" t="str">
        <f>+IF($V1="Cty Tân Hoàng Đạt",$K1, "")</f>
        <v/>
      </c>
      <c r="AL1" s="1" t="str">
        <f>+IF($V1="Cty Thái Bình Dương",$K1, "")</f>
        <v/>
      </c>
      <c r="AM1" s="1" t="str">
        <f>+IF($V1="Cty Việt Anh",$K1, "")</f>
        <v/>
      </c>
      <c r="AN1" s="1" t="str">
        <f>+IF($V1="Cty Thành Công",$K1, "")</f>
        <v/>
      </c>
      <c r="AO1" s="1" t="str">
        <f>+IF($V1="Cty Sông Hậu",$K1, "")</f>
        <v/>
      </c>
      <c r="AP1" s="1" t="str">
        <f>+IF($V1="Cty Hằng Phát",$K1, "")</f>
        <v/>
      </c>
    </row>
    <row r="2" spans="1:46" ht="22.5" x14ac:dyDescent="0.3">
      <c r="B2" s="328" t="s">
        <v>68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1" t="str">
        <f>+IF($V2="Cty Việt Anh",$K2, "")</f>
        <v/>
      </c>
      <c r="AN2" s="1" t="str">
        <f>+IF($V2="Cty Thành Công",$K2, "")</f>
        <v/>
      </c>
      <c r="AO2" s="1" t="str">
        <f>+IF($V2="Cty Sông Hậu",$K2, "")</f>
        <v/>
      </c>
      <c r="AP2" s="1" t="str">
        <f>+IF($V2="Cty Hằng Phát",$K2, "")</f>
        <v/>
      </c>
    </row>
    <row r="3" spans="1:46" ht="22.5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46" ht="22.5" x14ac:dyDescent="0.3">
      <c r="A4" s="2"/>
      <c r="B4" s="325" t="s">
        <v>58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7"/>
      <c r="W4" s="325" t="s">
        <v>59</v>
      </c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1" t="str">
        <f>+IF($V4="Cty Thành Công",$K4, "")</f>
        <v/>
      </c>
      <c r="AO4" s="1" t="str">
        <f>+IF($V4="Cty Sông Hậu",$K4, "")</f>
        <v/>
      </c>
      <c r="AP4" s="1" t="str">
        <f>+IF($V4="Cty Hằng Phát",$K4, "")</f>
        <v/>
      </c>
    </row>
    <row r="5" spans="1:46" s="10" customFormat="1" ht="43.5" thickBot="1" x14ac:dyDescent="0.3">
      <c r="A5" s="79" t="s">
        <v>160</v>
      </c>
      <c r="B5" s="68" t="s">
        <v>3</v>
      </c>
      <c r="C5" s="68" t="s">
        <v>61</v>
      </c>
      <c r="D5" s="68" t="s">
        <v>4</v>
      </c>
      <c r="E5" s="68" t="s">
        <v>13</v>
      </c>
      <c r="F5" s="68" t="s">
        <v>5</v>
      </c>
      <c r="G5" s="68" t="s">
        <v>42</v>
      </c>
      <c r="H5" s="68" t="s">
        <v>6</v>
      </c>
      <c r="I5" s="68" t="s">
        <v>7</v>
      </c>
      <c r="J5" s="68" t="s">
        <v>161</v>
      </c>
      <c r="K5" s="68" t="s">
        <v>8</v>
      </c>
      <c r="L5" s="69" t="s">
        <v>12</v>
      </c>
      <c r="M5" s="68" t="s">
        <v>43</v>
      </c>
      <c r="N5" s="68" t="s">
        <v>10</v>
      </c>
      <c r="O5" s="68" t="s">
        <v>162</v>
      </c>
      <c r="P5" s="68" t="s">
        <v>163</v>
      </c>
      <c r="Q5" s="68" t="s">
        <v>32</v>
      </c>
      <c r="R5" s="68" t="s">
        <v>18</v>
      </c>
      <c r="S5" s="68" t="s">
        <v>23</v>
      </c>
      <c r="T5" s="68" t="s">
        <v>21</v>
      </c>
      <c r="U5" s="68" t="s">
        <v>20</v>
      </c>
      <c r="V5" s="68" t="s">
        <v>9</v>
      </c>
      <c r="W5" s="79" t="s">
        <v>44</v>
      </c>
      <c r="X5" s="79" t="s">
        <v>45</v>
      </c>
      <c r="Y5" s="79" t="s">
        <v>46</v>
      </c>
      <c r="Z5" s="79" t="s">
        <v>47</v>
      </c>
      <c r="AA5" s="79" t="s">
        <v>48</v>
      </c>
      <c r="AB5" s="79" t="s">
        <v>49</v>
      </c>
      <c r="AC5" s="79" t="s">
        <v>64</v>
      </c>
      <c r="AD5" s="79" t="s">
        <v>52</v>
      </c>
      <c r="AE5" s="79" t="s">
        <v>50</v>
      </c>
      <c r="AF5" s="79" t="s">
        <v>51</v>
      </c>
      <c r="AG5" s="79" t="s">
        <v>53</v>
      </c>
      <c r="AH5" s="79" t="s">
        <v>56</v>
      </c>
      <c r="AI5" s="79" t="s">
        <v>57</v>
      </c>
      <c r="AJ5" s="79" t="s">
        <v>54</v>
      </c>
      <c r="AK5" s="79" t="s">
        <v>164</v>
      </c>
      <c r="AL5" s="79" t="s">
        <v>165</v>
      </c>
      <c r="AM5" s="70" t="s">
        <v>60</v>
      </c>
      <c r="AN5" s="70" t="s">
        <v>167</v>
      </c>
      <c r="AO5" s="10" t="str">
        <f>+IF($V5="Cty Sông Hậu",$K5, "")</f>
        <v/>
      </c>
      <c r="AP5" s="10" t="str">
        <f>+IF($V5="Cty Hằng Phát",$K5, "")</f>
        <v/>
      </c>
    </row>
    <row r="6" spans="1:46" ht="30" customHeight="1" thickTop="1" x14ac:dyDescent="0.25">
      <c r="A6" s="71"/>
      <c r="B6" s="72"/>
      <c r="C6" s="72"/>
      <c r="D6" s="72"/>
      <c r="E6" s="73"/>
      <c r="F6" s="72"/>
      <c r="G6" s="73"/>
      <c r="H6" s="72"/>
      <c r="I6" s="73">
        <v>1</v>
      </c>
      <c r="J6" s="74">
        <v>2</v>
      </c>
      <c r="K6" s="72" t="s">
        <v>22</v>
      </c>
      <c r="L6" s="75">
        <v>4</v>
      </c>
      <c r="M6" s="73"/>
      <c r="N6" s="72">
        <v>5</v>
      </c>
      <c r="O6" s="73">
        <v>6</v>
      </c>
      <c r="P6" s="72" t="s">
        <v>25</v>
      </c>
      <c r="Q6" s="72" t="s">
        <v>34</v>
      </c>
      <c r="R6" s="72" t="s">
        <v>26</v>
      </c>
      <c r="S6" s="72" t="s">
        <v>27</v>
      </c>
      <c r="T6" s="73" t="s">
        <v>33</v>
      </c>
      <c r="U6" s="73" t="s">
        <v>28</v>
      </c>
      <c r="V6" s="72"/>
      <c r="W6" s="71"/>
      <c r="X6" s="71"/>
      <c r="Y6" s="71"/>
      <c r="Z6" s="76"/>
      <c r="AA6" s="71"/>
      <c r="AB6" s="71" t="str">
        <f>+IF(U6="Cty Ngọc Anh",J6, "")</f>
        <v/>
      </c>
      <c r="AC6" s="71" t="str">
        <f>+IF(V6="Cty Ngọc Anh",K6, "")</f>
        <v/>
      </c>
      <c r="AD6" s="71"/>
      <c r="AE6" s="71" t="str">
        <f>+IF($V6="Cty Hoàng Quyên",$K6, "")</f>
        <v/>
      </c>
      <c r="AF6" s="71" t="str">
        <f>+IF($V6="Cty Hoàng Long",$K6, "")</f>
        <v/>
      </c>
      <c r="AG6" s="71" t="str">
        <f>+IF($V6="Cty An Hưng",$K6, "")</f>
        <v/>
      </c>
      <c r="AH6" s="71" t="str">
        <f>+IF($V6="Cty An Hưng",$K6, "")</f>
        <v/>
      </c>
      <c r="AI6" s="71" t="str">
        <f>+IF($V6="Cty An Hưng",$K6, "")</f>
        <v/>
      </c>
      <c r="AJ6" s="71" t="str">
        <f>+IF($V6="Cty Thành Năm",$K6, "")</f>
        <v/>
      </c>
      <c r="AK6" s="71" t="str">
        <f>+IF($V6="Cty Tân Hoàng Đạt",$K6, "")</f>
        <v/>
      </c>
      <c r="AL6" s="71" t="str">
        <f>+IF($V6="Cty Thái Bình Dương",$K6, "")</f>
        <v/>
      </c>
      <c r="AM6" s="77" t="str">
        <f>+IF($V6="Cty Việt Anh",$K6, "")</f>
        <v/>
      </c>
      <c r="AN6" s="1" t="str">
        <f>+IF($V6="Cty Thành Công",$K6, "")</f>
        <v/>
      </c>
      <c r="AO6" s="13">
        <v>45932.5625</v>
      </c>
      <c r="AP6" s="13">
        <v>45940.8125</v>
      </c>
      <c r="AQ6" s="12">
        <f>++AP6-AO6</f>
        <v>8.25</v>
      </c>
      <c r="AR6" s="11" t="e">
        <f>+AJ6/31*AQ6</f>
        <v>#VALUE!</v>
      </c>
      <c r="AS6" s="11" t="e">
        <f>+AG6/31*AQ6</f>
        <v>#VALUE!</v>
      </c>
      <c r="AT6" s="11" t="e">
        <f>+AI6/31*AQ6</f>
        <v>#VALUE!</v>
      </c>
    </row>
    <row r="7" spans="1:46" x14ac:dyDescent="0.25">
      <c r="A7" s="1" t="str" cm="1">
        <f t="array" ref="A7">+_xlfn._xlws.FILTER('So lieu khai thac'!A5:AT417,'So lieu khai thac'!A5:A417=10,"")</f>
        <v/>
      </c>
      <c r="J7" s="5"/>
      <c r="K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6" x14ac:dyDescent="0.25">
      <c r="J8" s="5"/>
      <c r="K8" s="5"/>
      <c r="N8" s="5"/>
      <c r="O8" s="5"/>
      <c r="P8" s="5"/>
      <c r="Q8" s="5"/>
      <c r="R8" s="5"/>
      <c r="S8" s="5"/>
      <c r="T8" s="5"/>
      <c r="U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6" x14ac:dyDescent="0.25">
      <c r="J9" s="5"/>
      <c r="K9" s="5"/>
      <c r="N9" s="5"/>
      <c r="O9" s="5"/>
      <c r="P9" s="5"/>
      <c r="Q9" s="5"/>
      <c r="R9" s="5"/>
      <c r="S9" s="5"/>
      <c r="T9" s="5"/>
      <c r="U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6" x14ac:dyDescent="0.25">
      <c r="J10" s="5"/>
      <c r="K10" s="5"/>
      <c r="N10" s="5"/>
      <c r="O10" s="5"/>
      <c r="P10" s="5"/>
      <c r="Q10" s="5"/>
      <c r="R10" s="5"/>
      <c r="S10" s="5"/>
      <c r="T10" s="5"/>
      <c r="U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6" x14ac:dyDescent="0.25">
      <c r="J11" s="5"/>
      <c r="K11" s="5"/>
      <c r="N11" s="5"/>
      <c r="O11" s="5"/>
      <c r="P11" s="5"/>
      <c r="Q11" s="5"/>
      <c r="R11" s="5"/>
      <c r="S11" s="5"/>
      <c r="T11" s="5"/>
      <c r="U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6" x14ac:dyDescent="0.25">
      <c r="J12" s="5"/>
      <c r="K12" s="5"/>
      <c r="N12" s="5"/>
      <c r="O12" s="5"/>
      <c r="P12" s="5"/>
      <c r="Q12" s="5"/>
      <c r="R12" s="5"/>
      <c r="S12" s="5"/>
      <c r="T12" s="5"/>
      <c r="U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6" x14ac:dyDescent="0.25">
      <c r="J13" s="5"/>
      <c r="K13" s="5"/>
      <c r="N13" s="5"/>
      <c r="O13" s="5"/>
      <c r="P13" s="5"/>
      <c r="Q13" s="5"/>
      <c r="R13" s="5"/>
      <c r="S13" s="5"/>
      <c r="T13" s="5"/>
      <c r="U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6" x14ac:dyDescent="0.25">
      <c r="J14" s="5"/>
      <c r="K14" s="5"/>
      <c r="N14" s="5"/>
      <c r="O14" s="5"/>
      <c r="P14" s="5"/>
      <c r="Q14" s="5"/>
      <c r="R14" s="5"/>
      <c r="S14" s="5"/>
      <c r="T14" s="5"/>
      <c r="U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6" x14ac:dyDescent="0.25">
      <c r="J15" s="5"/>
      <c r="K15" s="5"/>
      <c r="N15" s="5"/>
      <c r="O15" s="5"/>
      <c r="P15" s="5"/>
      <c r="Q15" s="5"/>
      <c r="R15" s="5"/>
      <c r="S15" s="5"/>
      <c r="T15" s="5"/>
      <c r="U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6" x14ac:dyDescent="0.25">
      <c r="J16" s="5"/>
      <c r="K16" s="5"/>
      <c r="N16" s="5"/>
      <c r="O16" s="5"/>
      <c r="P16" s="5"/>
      <c r="Q16" s="5"/>
      <c r="R16" s="5"/>
      <c r="S16" s="5"/>
      <c r="T16" s="5"/>
      <c r="U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5">
      <c r="J17" s="5"/>
      <c r="K17" s="5"/>
      <c r="N17" s="5"/>
      <c r="O17" s="5"/>
      <c r="P17" s="5"/>
      <c r="Q17" s="5"/>
      <c r="R17" s="5"/>
      <c r="S17" s="5"/>
      <c r="T17" s="5"/>
      <c r="U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5"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40" x14ac:dyDescent="0.25"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40" x14ac:dyDescent="0.25"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40" x14ac:dyDescent="0.25"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40" ht="15.75" thickBot="1" x14ac:dyDescent="0.3"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40" ht="15.75" thickTop="1" x14ac:dyDescent="0.25">
      <c r="B23" s="333" t="s">
        <v>168</v>
      </c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334"/>
      <c r="O23" s="33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40" x14ac:dyDescent="0.25">
      <c r="B24" s="336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8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40" ht="15.75" thickBot="1" x14ac:dyDescent="0.3">
      <c r="B25" s="236"/>
      <c r="O25" s="237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40" ht="15.75" thickTop="1" x14ac:dyDescent="0.25">
      <c r="A26" s="216"/>
      <c r="B26" s="217" t="s">
        <v>70</v>
      </c>
      <c r="C26" s="218" t="s">
        <v>2</v>
      </c>
      <c r="D26" s="229"/>
      <c r="E26" s="218" t="s">
        <v>70</v>
      </c>
      <c r="F26" s="218" t="s">
        <v>0</v>
      </c>
      <c r="G26" s="229"/>
      <c r="H26" s="218" t="s">
        <v>70</v>
      </c>
      <c r="I26" s="218" t="s">
        <v>11</v>
      </c>
      <c r="J26" s="229"/>
      <c r="K26" s="218" t="s">
        <v>70</v>
      </c>
      <c r="L26" s="218" t="s">
        <v>65</v>
      </c>
      <c r="M26" s="232"/>
      <c r="N26" s="218" t="s">
        <v>70</v>
      </c>
      <c r="O26" s="219" t="s">
        <v>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40" x14ac:dyDescent="0.25">
      <c r="A27" s="216"/>
      <c r="B27" s="220" t="s">
        <v>166</v>
      </c>
      <c r="C27" s="221">
        <f>+COUNTIF($B$7:$B$24,C$26)</f>
        <v>0</v>
      </c>
      <c r="D27" s="230"/>
      <c r="E27" s="221" t="s">
        <v>166</v>
      </c>
      <c r="F27" s="221">
        <f>+COUNTIF($B$7:$B$24,F$26)</f>
        <v>0</v>
      </c>
      <c r="G27" s="230"/>
      <c r="H27" s="221" t="s">
        <v>166</v>
      </c>
      <c r="I27" s="221">
        <f>+COUNTIF($B$7:$B$24,I$26)</f>
        <v>0</v>
      </c>
      <c r="J27" s="230"/>
      <c r="K27" s="221" t="s">
        <v>166</v>
      </c>
      <c r="L27" s="221">
        <f>+COUNTIF($B$7:$B$24,L$26)</f>
        <v>0</v>
      </c>
      <c r="M27" s="233"/>
      <c r="N27" s="221" t="s">
        <v>166</v>
      </c>
      <c r="O27" s="222">
        <f>+COUNTIF($B$7:$B$24,O$26)</f>
        <v>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40" x14ac:dyDescent="0.25">
      <c r="A28" s="216"/>
      <c r="B28" s="220" t="s">
        <v>58</v>
      </c>
      <c r="C28" s="223">
        <f>+SUMIF($B$7:$B$24,C26,$K$7:$K$24)</f>
        <v>0</v>
      </c>
      <c r="D28" s="230"/>
      <c r="E28" s="221" t="s">
        <v>58</v>
      </c>
      <c r="F28" s="223">
        <f>+SUMIF($B$7:$B$24,F26,$K$7:$K$24)</f>
        <v>0</v>
      </c>
      <c r="G28" s="230"/>
      <c r="H28" s="221" t="s">
        <v>58</v>
      </c>
      <c r="I28" s="223">
        <f>+SUMIF($B$7:$B$24,I26,$K$7:$K$24)</f>
        <v>0</v>
      </c>
      <c r="J28" s="230"/>
      <c r="K28" s="221" t="s">
        <v>58</v>
      </c>
      <c r="L28" s="223">
        <f>+SUMIF($B$7:$B$24,L26,$K$7:$K$24)</f>
        <v>0</v>
      </c>
      <c r="M28" s="234"/>
      <c r="N28" s="221" t="s">
        <v>58</v>
      </c>
      <c r="O28" s="224">
        <f>+SUMIF($B$7:$B$24,O26,$K$7:$K$24)</f>
        <v>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40" x14ac:dyDescent="0.25">
      <c r="A29" s="216"/>
      <c r="B29" s="220" t="s">
        <v>79</v>
      </c>
      <c r="C29" s="223">
        <f>+SUMIF($B$7:$B$24,C26,$AN$7:$AN$24)</f>
        <v>0</v>
      </c>
      <c r="D29" s="230"/>
      <c r="E29" s="221" t="s">
        <v>79</v>
      </c>
      <c r="F29" s="223">
        <f>+SUMIF($B$7:$B$24,F26,$AN$7:$AN$24)</f>
        <v>0</v>
      </c>
      <c r="G29" s="230"/>
      <c r="H29" s="221" t="s">
        <v>79</v>
      </c>
      <c r="I29" s="223">
        <f>+SUMIF($B$7:$B$24,I26,$AN$7:$AN$24)</f>
        <v>0</v>
      </c>
      <c r="J29" s="230"/>
      <c r="K29" s="221" t="s">
        <v>79</v>
      </c>
      <c r="L29" s="223">
        <f>+SUMIF($B$7:$B$24,L26,$AN$7:$AN$24)</f>
        <v>0</v>
      </c>
      <c r="M29" s="234"/>
      <c r="N29" s="221" t="s">
        <v>79</v>
      </c>
      <c r="O29" s="224">
        <f>+SUMIF($B$7:$B$24,O26,$AN$7:$AN$24)</f>
        <v>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40" ht="15.75" thickBot="1" x14ac:dyDescent="0.3">
      <c r="A30" s="216"/>
      <c r="B30" s="225" t="s">
        <v>78</v>
      </c>
      <c r="C30" s="226">
        <f>+C28-C29</f>
        <v>0</v>
      </c>
      <c r="D30" s="231"/>
      <c r="E30" s="227" t="s">
        <v>78</v>
      </c>
      <c r="F30" s="226">
        <f>+F28-F29</f>
        <v>0</v>
      </c>
      <c r="G30" s="231"/>
      <c r="H30" s="227" t="s">
        <v>78</v>
      </c>
      <c r="I30" s="226">
        <f>+I28-I29</f>
        <v>0</v>
      </c>
      <c r="J30" s="231"/>
      <c r="K30" s="227" t="s">
        <v>78</v>
      </c>
      <c r="L30" s="226">
        <f>+L28-L29</f>
        <v>0</v>
      </c>
      <c r="M30" s="235"/>
      <c r="N30" s="227" t="s">
        <v>78</v>
      </c>
      <c r="O30" s="228">
        <f>+O28-O29</f>
        <v>0</v>
      </c>
    </row>
    <row r="31" spans="1:40" ht="15.75" thickTop="1" x14ac:dyDescent="0.25">
      <c r="B31" s="236"/>
      <c r="O31" s="237"/>
    </row>
    <row r="32" spans="1:40" s="238" customFormat="1" ht="20.100000000000001" customHeight="1" x14ac:dyDescent="0.25">
      <c r="B32" s="239"/>
      <c r="E32" s="329" t="s">
        <v>169</v>
      </c>
      <c r="F32" s="329"/>
      <c r="G32" s="330">
        <f>+C28+F28+I28+L28+O28</f>
        <v>0</v>
      </c>
      <c r="H32" s="330"/>
      <c r="O32" s="240"/>
    </row>
    <row r="33" spans="2:15" s="238" customFormat="1" ht="20.100000000000001" customHeight="1" x14ac:dyDescent="0.25">
      <c r="B33" s="239"/>
      <c r="E33" s="329" t="s">
        <v>170</v>
      </c>
      <c r="F33" s="329"/>
      <c r="G33" s="330">
        <f>+C29+F29+I29+L29+O29</f>
        <v>0</v>
      </c>
      <c r="H33" s="330"/>
      <c r="O33" s="240"/>
    </row>
    <row r="34" spans="2:15" s="238" customFormat="1" ht="20.100000000000001" customHeight="1" thickBot="1" x14ac:dyDescent="0.3">
      <c r="B34" s="241"/>
      <c r="C34" s="242"/>
      <c r="D34" s="242"/>
      <c r="E34" s="331" t="s">
        <v>171</v>
      </c>
      <c r="F34" s="331"/>
      <c r="G34" s="332">
        <f>+C30+F30+I30+L30+O30</f>
        <v>0</v>
      </c>
      <c r="H34" s="332"/>
      <c r="I34" s="242"/>
      <c r="J34" s="242"/>
      <c r="K34" s="242"/>
      <c r="L34" s="242"/>
      <c r="M34" s="242"/>
      <c r="N34" s="242"/>
      <c r="O34" s="243"/>
    </row>
    <row r="35" spans="2:15" ht="15.75" thickTop="1" x14ac:dyDescent="0.25"/>
  </sheetData>
  <mergeCells count="10">
    <mergeCell ref="E33:F33"/>
    <mergeCell ref="G33:H33"/>
    <mergeCell ref="E34:F34"/>
    <mergeCell ref="G34:H34"/>
    <mergeCell ref="B2:AL2"/>
    <mergeCell ref="B4:V4"/>
    <mergeCell ref="W4:AM4"/>
    <mergeCell ref="B23:O24"/>
    <mergeCell ref="E32:F32"/>
    <mergeCell ref="G32:H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43FA-8A0A-4866-8B98-1D65929290F1}">
  <dimension ref="A1:AT35"/>
  <sheetViews>
    <sheetView topLeftCell="A19" workbookViewId="0">
      <selection activeCell="C9" sqref="C9"/>
    </sheetView>
  </sheetViews>
  <sheetFormatPr defaultRowHeight="15" x14ac:dyDescent="0.25"/>
  <cols>
    <col min="1" max="1" width="9.28515625" style="1" bestFit="1" customWidth="1"/>
    <col min="2" max="3" width="13.85546875" style="1" bestFit="1" customWidth="1"/>
    <col min="4" max="4" width="9.140625" style="1"/>
    <col min="5" max="6" width="13.85546875" style="1" bestFit="1" customWidth="1"/>
    <col min="7" max="7" width="9.28515625" style="1" bestFit="1" customWidth="1"/>
    <col min="8" max="9" width="13.85546875" style="1" bestFit="1" customWidth="1"/>
    <col min="10" max="10" width="11.7109375" style="1" bestFit="1" customWidth="1"/>
    <col min="11" max="11" width="13.85546875" style="1" bestFit="1" customWidth="1"/>
    <col min="12" max="12" width="13.140625" style="1" bestFit="1" customWidth="1"/>
    <col min="13" max="13" width="9.28515625" style="1" bestFit="1" customWidth="1"/>
    <col min="14" max="15" width="13.85546875" style="1" bestFit="1" customWidth="1"/>
    <col min="16" max="16" width="12.7109375" style="1" bestFit="1" customWidth="1"/>
    <col min="17" max="17" width="11.7109375" style="1" bestFit="1" customWidth="1"/>
    <col min="18" max="19" width="12.7109375" style="1" bestFit="1" customWidth="1"/>
    <col min="20" max="20" width="14.7109375" style="1" customWidth="1"/>
    <col min="21" max="21" width="12.7109375" style="1" bestFit="1" customWidth="1"/>
    <col min="22" max="22" width="15.7109375" style="1" bestFit="1" customWidth="1"/>
    <col min="23" max="30" width="11.7109375" style="1" customWidth="1"/>
    <col min="31" max="31" width="12.85546875" style="1" customWidth="1"/>
    <col min="32" max="32" width="11.7109375" style="1" customWidth="1"/>
    <col min="33" max="33" width="12.28515625" style="1" bestFit="1" customWidth="1"/>
    <col min="34" max="39" width="11.7109375" style="1" customWidth="1"/>
    <col min="40" max="40" width="12.28515625" style="1" bestFit="1" customWidth="1"/>
    <col min="41" max="41" width="12.140625" style="1" bestFit="1" customWidth="1"/>
    <col min="42" max="42" width="13.28515625" style="1" bestFit="1" customWidth="1"/>
    <col min="43" max="43" width="9.28515625" style="1" bestFit="1" customWidth="1"/>
    <col min="44" max="46" width="10.140625" style="1" bestFit="1" customWidth="1"/>
    <col min="47" max="16384" width="9.140625" style="1"/>
  </cols>
  <sheetData>
    <row r="1" spans="1:46" ht="17.25" customHeight="1" x14ac:dyDescent="0.25">
      <c r="E1" s="6"/>
      <c r="L1" s="5"/>
      <c r="R1" s="4"/>
      <c r="S1" s="4"/>
      <c r="X1" s="8"/>
      <c r="Y1" s="9"/>
      <c r="Z1" s="5"/>
      <c r="AB1" s="1" t="str">
        <f t="shared" ref="AB1:AC1" si="0">+IF(U1="Cty Ngọc Anh",J1, "")</f>
        <v/>
      </c>
      <c r="AC1" s="1" t="str">
        <f t="shared" si="0"/>
        <v/>
      </c>
      <c r="AE1" s="1" t="str">
        <f>+IF($V1="Cty Hoàng Quyên",$K1, "")</f>
        <v/>
      </c>
      <c r="AF1" s="1" t="str">
        <f>+IF($V1="Cty Hoàng Long",$K1, "")</f>
        <v/>
      </c>
      <c r="AG1" s="1" t="str">
        <f>+IF($V1="Cty An Hưng",$K1, "")</f>
        <v/>
      </c>
      <c r="AH1" s="1" t="str">
        <f>+IF($V1="Cty An Hưng",$K1, "")</f>
        <v/>
      </c>
      <c r="AI1" s="1" t="str">
        <f>+IF($V1="Cty An Hưng",$K1, "")</f>
        <v/>
      </c>
      <c r="AJ1" s="1" t="str">
        <f>+IF($V1="Cty Thành Năm",$K1, "")</f>
        <v/>
      </c>
      <c r="AK1" s="1" t="str">
        <f>+IF($V1="Cty Tân Hoàng Đạt",$K1, "")</f>
        <v/>
      </c>
      <c r="AL1" s="1" t="str">
        <f>+IF($V1="Cty Thái Bình Dương",$K1, "")</f>
        <v/>
      </c>
      <c r="AM1" s="1" t="str">
        <f>+IF($V1="Cty Việt Anh",$K1, "")</f>
        <v/>
      </c>
      <c r="AN1" s="1" t="str">
        <f>+IF($V1="Cty Thành Công",$K1, "")</f>
        <v/>
      </c>
      <c r="AO1" s="1" t="str">
        <f>+IF($V1="Cty Sông Hậu",$K1, "")</f>
        <v/>
      </c>
      <c r="AP1" s="1" t="str">
        <f>+IF($V1="Cty Hằng Phát",$K1, "")</f>
        <v/>
      </c>
    </row>
    <row r="2" spans="1:46" ht="22.5" x14ac:dyDescent="0.3">
      <c r="B2" s="328" t="s">
        <v>68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1" t="str">
        <f>+IF($V2="Cty Việt Anh",$K2, "")</f>
        <v/>
      </c>
      <c r="AN2" s="1" t="str">
        <f>+IF($V2="Cty Thành Công",$K2, "")</f>
        <v/>
      </c>
      <c r="AO2" s="1" t="str">
        <f>+IF($V2="Cty Sông Hậu",$K2, "")</f>
        <v/>
      </c>
      <c r="AP2" s="1" t="str">
        <f>+IF($V2="Cty Hằng Phát",$K2, "")</f>
        <v/>
      </c>
    </row>
    <row r="3" spans="1:46" ht="22.5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46" ht="22.5" x14ac:dyDescent="0.3">
      <c r="A4" s="2"/>
      <c r="B4" s="325" t="s">
        <v>58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7"/>
      <c r="W4" s="325" t="s">
        <v>59</v>
      </c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1" t="str">
        <f>+IF($V4="Cty Thành Công",$K4, "")</f>
        <v/>
      </c>
      <c r="AO4" s="1" t="str">
        <f>+IF($V4="Cty Sông Hậu",$K4, "")</f>
        <v/>
      </c>
      <c r="AP4" s="1" t="str">
        <f>+IF($V4="Cty Hằng Phát",$K4, "")</f>
        <v/>
      </c>
    </row>
    <row r="5" spans="1:46" s="10" customFormat="1" ht="57.75" thickBot="1" x14ac:dyDescent="0.3">
      <c r="A5" s="79" t="s">
        <v>160</v>
      </c>
      <c r="B5" s="68" t="s">
        <v>3</v>
      </c>
      <c r="C5" s="68" t="s">
        <v>61</v>
      </c>
      <c r="D5" s="68" t="s">
        <v>4</v>
      </c>
      <c r="E5" s="68" t="s">
        <v>13</v>
      </c>
      <c r="F5" s="68" t="s">
        <v>5</v>
      </c>
      <c r="G5" s="68" t="s">
        <v>42</v>
      </c>
      <c r="H5" s="68" t="s">
        <v>6</v>
      </c>
      <c r="I5" s="68" t="s">
        <v>7</v>
      </c>
      <c r="J5" s="68" t="s">
        <v>161</v>
      </c>
      <c r="K5" s="68" t="s">
        <v>8</v>
      </c>
      <c r="L5" s="69" t="s">
        <v>12</v>
      </c>
      <c r="M5" s="68" t="s">
        <v>43</v>
      </c>
      <c r="N5" s="68" t="s">
        <v>10</v>
      </c>
      <c r="O5" s="68" t="s">
        <v>162</v>
      </c>
      <c r="P5" s="68" t="s">
        <v>163</v>
      </c>
      <c r="Q5" s="68" t="s">
        <v>32</v>
      </c>
      <c r="R5" s="68" t="s">
        <v>18</v>
      </c>
      <c r="S5" s="68" t="s">
        <v>23</v>
      </c>
      <c r="T5" s="68" t="s">
        <v>21</v>
      </c>
      <c r="U5" s="68" t="s">
        <v>20</v>
      </c>
      <c r="V5" s="68" t="s">
        <v>9</v>
      </c>
      <c r="W5" s="79" t="s">
        <v>44</v>
      </c>
      <c r="X5" s="79" t="s">
        <v>45</v>
      </c>
      <c r="Y5" s="79" t="s">
        <v>46</v>
      </c>
      <c r="Z5" s="79" t="s">
        <v>47</v>
      </c>
      <c r="AA5" s="79" t="s">
        <v>48</v>
      </c>
      <c r="AB5" s="79" t="s">
        <v>49</v>
      </c>
      <c r="AC5" s="79" t="s">
        <v>64</v>
      </c>
      <c r="AD5" s="79" t="s">
        <v>52</v>
      </c>
      <c r="AE5" s="79" t="s">
        <v>50</v>
      </c>
      <c r="AF5" s="79" t="s">
        <v>51</v>
      </c>
      <c r="AG5" s="79" t="s">
        <v>53</v>
      </c>
      <c r="AH5" s="79" t="s">
        <v>56</v>
      </c>
      <c r="AI5" s="79" t="s">
        <v>57</v>
      </c>
      <c r="AJ5" s="79" t="s">
        <v>54</v>
      </c>
      <c r="AK5" s="79" t="s">
        <v>164</v>
      </c>
      <c r="AL5" s="79" t="s">
        <v>165</v>
      </c>
      <c r="AM5" s="70" t="s">
        <v>60</v>
      </c>
      <c r="AN5" s="70" t="s">
        <v>167</v>
      </c>
      <c r="AO5" s="10" t="str">
        <f>+IF($V5="Cty Sông Hậu",$K5, "")</f>
        <v/>
      </c>
      <c r="AP5" s="10" t="str">
        <f>+IF($V5="Cty Hằng Phát",$K5, "")</f>
        <v/>
      </c>
    </row>
    <row r="6" spans="1:46" ht="30" customHeight="1" thickTop="1" x14ac:dyDescent="0.25">
      <c r="A6" s="71"/>
      <c r="B6" s="72"/>
      <c r="C6" s="72"/>
      <c r="D6" s="72"/>
      <c r="E6" s="73"/>
      <c r="F6" s="72"/>
      <c r="G6" s="73"/>
      <c r="H6" s="72"/>
      <c r="I6" s="73">
        <v>1</v>
      </c>
      <c r="J6" s="74">
        <v>2</v>
      </c>
      <c r="K6" s="72" t="s">
        <v>22</v>
      </c>
      <c r="L6" s="75">
        <v>4</v>
      </c>
      <c r="M6" s="73"/>
      <c r="N6" s="72">
        <v>5</v>
      </c>
      <c r="O6" s="73">
        <v>6</v>
      </c>
      <c r="P6" s="72" t="s">
        <v>25</v>
      </c>
      <c r="Q6" s="72" t="s">
        <v>34</v>
      </c>
      <c r="R6" s="72" t="s">
        <v>26</v>
      </c>
      <c r="S6" s="72" t="s">
        <v>27</v>
      </c>
      <c r="T6" s="73" t="s">
        <v>33</v>
      </c>
      <c r="U6" s="73" t="s">
        <v>28</v>
      </c>
      <c r="V6" s="72"/>
      <c r="W6" s="71"/>
      <c r="X6" s="71"/>
      <c r="Y6" s="71"/>
      <c r="Z6" s="76"/>
      <c r="AA6" s="71"/>
      <c r="AB6" s="71" t="str">
        <f>+IF(U6="Cty Ngọc Anh",J6, "")</f>
        <v/>
      </c>
      <c r="AC6" s="71" t="str">
        <f>+IF(V6="Cty Ngọc Anh",K6, "")</f>
        <v/>
      </c>
      <c r="AD6" s="71"/>
      <c r="AE6" s="71" t="str">
        <f>+IF($V6="Cty Hoàng Quyên",$K6, "")</f>
        <v/>
      </c>
      <c r="AF6" s="71" t="str">
        <f>+IF($V6="Cty Hoàng Long",$K6, "")</f>
        <v/>
      </c>
      <c r="AG6" s="71" t="str">
        <f>+IF($V6="Cty An Hưng",$K6, "")</f>
        <v/>
      </c>
      <c r="AH6" s="71" t="str">
        <f>+IF($V6="Cty An Hưng",$K6, "")</f>
        <v/>
      </c>
      <c r="AI6" s="71" t="str">
        <f>+IF($V6="Cty An Hưng",$K6, "")</f>
        <v/>
      </c>
      <c r="AJ6" s="71" t="str">
        <f>+IF($V6="Cty Thành Năm",$K6, "")</f>
        <v/>
      </c>
      <c r="AK6" s="71" t="str">
        <f>+IF($V6="Cty Tân Hoàng Đạt",$K6, "")</f>
        <v/>
      </c>
      <c r="AL6" s="71" t="str">
        <f>+IF($V6="Cty Thái Bình Dương",$K6, "")</f>
        <v/>
      </c>
      <c r="AM6" s="77" t="str">
        <f>+IF($V6="Cty Việt Anh",$K6, "")</f>
        <v/>
      </c>
      <c r="AN6" s="1" t="str">
        <f>+IF($V6="Cty Thành Công",$K6, "")</f>
        <v/>
      </c>
      <c r="AO6" s="13">
        <v>45932.5625</v>
      </c>
      <c r="AP6" s="13">
        <v>45940.8125</v>
      </c>
      <c r="AQ6" s="12">
        <f>++AP6-AO6</f>
        <v>8.25</v>
      </c>
      <c r="AR6" s="11" t="e">
        <f>+AJ6/31*AQ6</f>
        <v>#VALUE!</v>
      </c>
      <c r="AS6" s="11" t="e">
        <f>+AG6/31*AQ6</f>
        <v>#VALUE!</v>
      </c>
      <c r="AT6" s="11" t="e">
        <f>+AI6/31*AQ6</f>
        <v>#VALUE!</v>
      </c>
    </row>
    <row r="7" spans="1:46" x14ac:dyDescent="0.25">
      <c r="A7" s="1" t="str" cm="1">
        <f t="array" ref="A7">+_xlfn._xlws.FILTER('So lieu khai thac'!A5:AT417,'So lieu khai thac'!A5:A417=11,"")</f>
        <v/>
      </c>
      <c r="J7" s="5"/>
      <c r="K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6" x14ac:dyDescent="0.25">
      <c r="J8" s="5"/>
      <c r="K8" s="5"/>
      <c r="N8" s="5"/>
      <c r="O8" s="5"/>
      <c r="P8" s="5"/>
      <c r="Q8" s="5"/>
      <c r="R8" s="5"/>
      <c r="S8" s="5"/>
      <c r="T8" s="5"/>
      <c r="U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6" x14ac:dyDescent="0.25">
      <c r="J9" s="5"/>
      <c r="K9" s="5"/>
      <c r="N9" s="5"/>
      <c r="O9" s="5"/>
      <c r="P9" s="5"/>
      <c r="Q9" s="5"/>
      <c r="R9" s="5"/>
      <c r="S9" s="5"/>
      <c r="T9" s="5"/>
      <c r="U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6" x14ac:dyDescent="0.25">
      <c r="J10" s="5"/>
      <c r="K10" s="5"/>
      <c r="N10" s="5"/>
      <c r="O10" s="5"/>
      <c r="P10" s="5"/>
      <c r="Q10" s="5"/>
      <c r="R10" s="5"/>
      <c r="S10" s="5"/>
      <c r="T10" s="5"/>
      <c r="U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6" x14ac:dyDescent="0.25">
      <c r="J11" s="5"/>
      <c r="K11" s="5"/>
      <c r="N11" s="5"/>
      <c r="O11" s="5"/>
      <c r="P11" s="5"/>
      <c r="Q11" s="5"/>
      <c r="R11" s="5"/>
      <c r="S11" s="5"/>
      <c r="T11" s="5"/>
      <c r="U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6" x14ac:dyDescent="0.25">
      <c r="J12" s="5"/>
      <c r="K12" s="5"/>
      <c r="N12" s="5"/>
      <c r="O12" s="5"/>
      <c r="P12" s="5"/>
      <c r="Q12" s="5"/>
      <c r="R12" s="5"/>
      <c r="S12" s="5"/>
      <c r="T12" s="5"/>
      <c r="U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6" x14ac:dyDescent="0.25">
      <c r="J13" s="5"/>
      <c r="K13" s="5"/>
      <c r="N13" s="5"/>
      <c r="O13" s="5"/>
      <c r="P13" s="5"/>
      <c r="Q13" s="5"/>
      <c r="R13" s="5"/>
      <c r="S13" s="5"/>
      <c r="T13" s="5"/>
      <c r="U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6" x14ac:dyDescent="0.25">
      <c r="J14" s="5"/>
      <c r="K14" s="5"/>
      <c r="N14" s="5"/>
      <c r="O14" s="5"/>
      <c r="P14" s="5"/>
      <c r="Q14" s="5"/>
      <c r="R14" s="5"/>
      <c r="S14" s="5"/>
      <c r="T14" s="5"/>
      <c r="U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6" x14ac:dyDescent="0.25">
      <c r="J15" s="5"/>
      <c r="K15" s="5"/>
      <c r="N15" s="5"/>
      <c r="O15" s="5"/>
      <c r="P15" s="5"/>
      <c r="Q15" s="5"/>
      <c r="R15" s="5"/>
      <c r="S15" s="5"/>
      <c r="T15" s="5"/>
      <c r="U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6" x14ac:dyDescent="0.25">
      <c r="J16" s="5"/>
      <c r="K16" s="5"/>
      <c r="N16" s="5"/>
      <c r="O16" s="5"/>
      <c r="P16" s="5"/>
      <c r="Q16" s="5"/>
      <c r="R16" s="5"/>
      <c r="S16" s="5"/>
      <c r="T16" s="5"/>
      <c r="U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5">
      <c r="J17" s="5"/>
      <c r="K17" s="5"/>
      <c r="N17" s="5"/>
      <c r="O17" s="5"/>
      <c r="P17" s="5"/>
      <c r="Q17" s="5"/>
      <c r="R17" s="5"/>
      <c r="S17" s="5"/>
      <c r="T17" s="5"/>
      <c r="U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5"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40" x14ac:dyDescent="0.25"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40" x14ac:dyDescent="0.25"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40" x14ac:dyDescent="0.25"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40" ht="15.75" thickBot="1" x14ac:dyDescent="0.3"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40" ht="15.75" thickTop="1" x14ac:dyDescent="0.25">
      <c r="B23" s="333" t="s">
        <v>168</v>
      </c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334"/>
      <c r="O23" s="33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40" x14ac:dyDescent="0.25">
      <c r="B24" s="336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8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40" ht="15.75" thickBot="1" x14ac:dyDescent="0.3">
      <c r="B25" s="236"/>
      <c r="O25" s="237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40" ht="15.75" thickTop="1" x14ac:dyDescent="0.25">
      <c r="A26" s="216"/>
      <c r="B26" s="217" t="s">
        <v>70</v>
      </c>
      <c r="C26" s="218" t="s">
        <v>2</v>
      </c>
      <c r="D26" s="229"/>
      <c r="E26" s="218" t="s">
        <v>70</v>
      </c>
      <c r="F26" s="218" t="s">
        <v>0</v>
      </c>
      <c r="G26" s="229"/>
      <c r="H26" s="218" t="s">
        <v>70</v>
      </c>
      <c r="I26" s="218" t="s">
        <v>11</v>
      </c>
      <c r="J26" s="229"/>
      <c r="K26" s="218" t="s">
        <v>70</v>
      </c>
      <c r="L26" s="218" t="s">
        <v>65</v>
      </c>
      <c r="M26" s="232"/>
      <c r="N26" s="218" t="s">
        <v>70</v>
      </c>
      <c r="O26" s="219" t="s">
        <v>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40" x14ac:dyDescent="0.25">
      <c r="A27" s="216"/>
      <c r="B27" s="220" t="s">
        <v>166</v>
      </c>
      <c r="C27" s="221">
        <f>+COUNTIF($B$7:$B$24,C$26)</f>
        <v>0</v>
      </c>
      <c r="D27" s="230"/>
      <c r="E27" s="221" t="s">
        <v>166</v>
      </c>
      <c r="F27" s="221">
        <f>+COUNTIF($B$7:$B$24,F$26)</f>
        <v>0</v>
      </c>
      <c r="G27" s="230"/>
      <c r="H27" s="221" t="s">
        <v>166</v>
      </c>
      <c r="I27" s="221">
        <f>+COUNTIF($B$7:$B$24,I$26)</f>
        <v>0</v>
      </c>
      <c r="J27" s="230"/>
      <c r="K27" s="221" t="s">
        <v>166</v>
      </c>
      <c r="L27" s="221">
        <f>+COUNTIF($B$7:$B$24,L$26)</f>
        <v>0</v>
      </c>
      <c r="M27" s="233"/>
      <c r="N27" s="221" t="s">
        <v>166</v>
      </c>
      <c r="O27" s="222">
        <f>+COUNTIF($B$7:$B$24,O$26)</f>
        <v>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40" x14ac:dyDescent="0.25">
      <c r="A28" s="216"/>
      <c r="B28" s="220" t="s">
        <v>58</v>
      </c>
      <c r="C28" s="223">
        <f>+SUMIF($B$7:$B$24,C26,$K$7:$K$24)</f>
        <v>0</v>
      </c>
      <c r="D28" s="230"/>
      <c r="E28" s="221" t="s">
        <v>58</v>
      </c>
      <c r="F28" s="223">
        <f>+SUMIF($B$7:$B$24,F26,$K$7:$K$24)</f>
        <v>0</v>
      </c>
      <c r="G28" s="230"/>
      <c r="H28" s="221" t="s">
        <v>58</v>
      </c>
      <c r="I28" s="223">
        <f>+SUMIF($B$7:$B$24,I26,$K$7:$K$24)</f>
        <v>0</v>
      </c>
      <c r="J28" s="230"/>
      <c r="K28" s="221" t="s">
        <v>58</v>
      </c>
      <c r="L28" s="223">
        <f>+SUMIF($B$7:$B$24,L26,$K$7:$K$24)</f>
        <v>0</v>
      </c>
      <c r="M28" s="234"/>
      <c r="N28" s="221" t="s">
        <v>58</v>
      </c>
      <c r="O28" s="224">
        <f>+SUMIF($B$7:$B$24,O26,$K$7:$K$24)</f>
        <v>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40" x14ac:dyDescent="0.25">
      <c r="A29" s="216"/>
      <c r="B29" s="220" t="s">
        <v>79</v>
      </c>
      <c r="C29" s="223">
        <f>+SUMIF($B$7:$B$24,C26,$AN$7:$AN$24)</f>
        <v>0</v>
      </c>
      <c r="D29" s="230"/>
      <c r="E29" s="221" t="s">
        <v>79</v>
      </c>
      <c r="F29" s="223">
        <f>+SUMIF($B$7:$B$24,F26,$AN$7:$AN$24)</f>
        <v>0</v>
      </c>
      <c r="G29" s="230"/>
      <c r="H29" s="221" t="s">
        <v>79</v>
      </c>
      <c r="I29" s="223">
        <f>+SUMIF($B$7:$B$24,I26,$AN$7:$AN$24)</f>
        <v>0</v>
      </c>
      <c r="J29" s="230"/>
      <c r="K29" s="221" t="s">
        <v>79</v>
      </c>
      <c r="L29" s="223">
        <f>+SUMIF($B$7:$B$24,L26,$AN$7:$AN$24)</f>
        <v>0</v>
      </c>
      <c r="M29" s="234"/>
      <c r="N29" s="221" t="s">
        <v>79</v>
      </c>
      <c r="O29" s="224">
        <f>+SUMIF($B$7:$B$24,O26,$AN$7:$AN$24)</f>
        <v>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40" ht="15.75" thickBot="1" x14ac:dyDescent="0.3">
      <c r="A30" s="216"/>
      <c r="B30" s="225" t="s">
        <v>78</v>
      </c>
      <c r="C30" s="226">
        <f>+C28-C29</f>
        <v>0</v>
      </c>
      <c r="D30" s="231"/>
      <c r="E30" s="227" t="s">
        <v>78</v>
      </c>
      <c r="F30" s="226">
        <f>+F28-F29</f>
        <v>0</v>
      </c>
      <c r="G30" s="231"/>
      <c r="H30" s="227" t="s">
        <v>78</v>
      </c>
      <c r="I30" s="226">
        <f>+I28-I29</f>
        <v>0</v>
      </c>
      <c r="J30" s="231"/>
      <c r="K30" s="227" t="s">
        <v>78</v>
      </c>
      <c r="L30" s="226">
        <f>+L28-L29</f>
        <v>0</v>
      </c>
      <c r="M30" s="235"/>
      <c r="N30" s="227" t="s">
        <v>78</v>
      </c>
      <c r="O30" s="228">
        <f>+O28-O29</f>
        <v>0</v>
      </c>
    </row>
    <row r="31" spans="1:40" ht="15.75" thickTop="1" x14ac:dyDescent="0.25">
      <c r="B31" s="236"/>
      <c r="O31" s="237"/>
    </row>
    <row r="32" spans="1:40" s="238" customFormat="1" ht="20.100000000000001" customHeight="1" x14ac:dyDescent="0.25">
      <c r="B32" s="239"/>
      <c r="E32" s="329" t="s">
        <v>169</v>
      </c>
      <c r="F32" s="329"/>
      <c r="G32" s="330">
        <f>+C28+F28+I28+L28+O28</f>
        <v>0</v>
      </c>
      <c r="H32" s="330"/>
      <c r="O32" s="240"/>
    </row>
    <row r="33" spans="2:15" s="238" customFormat="1" ht="20.100000000000001" customHeight="1" x14ac:dyDescent="0.25">
      <c r="B33" s="239"/>
      <c r="E33" s="329" t="s">
        <v>170</v>
      </c>
      <c r="F33" s="329"/>
      <c r="G33" s="330">
        <f>+C29+F29+I29+L29+O29</f>
        <v>0</v>
      </c>
      <c r="H33" s="330"/>
      <c r="O33" s="240"/>
    </row>
    <row r="34" spans="2:15" s="238" customFormat="1" ht="20.100000000000001" customHeight="1" thickBot="1" x14ac:dyDescent="0.3">
      <c r="B34" s="241"/>
      <c r="C34" s="242"/>
      <c r="D34" s="242"/>
      <c r="E34" s="331" t="s">
        <v>171</v>
      </c>
      <c r="F34" s="331"/>
      <c r="G34" s="332">
        <f>+C30+F30+I30+L30+O30</f>
        <v>0</v>
      </c>
      <c r="H34" s="332"/>
      <c r="I34" s="242"/>
      <c r="J34" s="242"/>
      <c r="K34" s="242"/>
      <c r="L34" s="242"/>
      <c r="M34" s="242"/>
      <c r="N34" s="242"/>
      <c r="O34" s="243"/>
    </row>
    <row r="35" spans="2:15" ht="15.75" thickTop="1" x14ac:dyDescent="0.25"/>
  </sheetData>
  <mergeCells count="10">
    <mergeCell ref="G34:H34"/>
    <mergeCell ref="E32:F32"/>
    <mergeCell ref="E33:F33"/>
    <mergeCell ref="E34:F34"/>
    <mergeCell ref="B2:AL2"/>
    <mergeCell ref="B4:V4"/>
    <mergeCell ref="W4:AM4"/>
    <mergeCell ref="B23:O24"/>
    <mergeCell ref="G32:H32"/>
    <mergeCell ref="G33:H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4643-1901-4085-B8E5-AF19BBF664A9}">
  <dimension ref="A1:AT35"/>
  <sheetViews>
    <sheetView topLeftCell="A19" workbookViewId="0">
      <selection activeCell="A8" sqref="A8"/>
    </sheetView>
  </sheetViews>
  <sheetFormatPr defaultRowHeight="15" x14ac:dyDescent="0.25"/>
  <cols>
    <col min="1" max="1" width="9.28515625" style="1" bestFit="1" customWidth="1"/>
    <col min="2" max="3" width="13.85546875" style="1" bestFit="1" customWidth="1"/>
    <col min="4" max="4" width="9.140625" style="1"/>
    <col min="5" max="6" width="13.85546875" style="1" bestFit="1" customWidth="1"/>
    <col min="7" max="7" width="9.28515625" style="1" bestFit="1" customWidth="1"/>
    <col min="8" max="9" width="13.85546875" style="1" bestFit="1" customWidth="1"/>
    <col min="10" max="10" width="13" style="1" customWidth="1"/>
    <col min="11" max="11" width="13.85546875" style="1" bestFit="1" customWidth="1"/>
    <col min="12" max="12" width="14.28515625" style="1" customWidth="1"/>
    <col min="13" max="13" width="9.28515625" style="1" bestFit="1" customWidth="1"/>
    <col min="14" max="16" width="13.85546875" style="1" bestFit="1" customWidth="1"/>
    <col min="17" max="17" width="12.28515625" style="1" bestFit="1" customWidth="1"/>
    <col min="18" max="18" width="13.85546875" style="1" bestFit="1" customWidth="1"/>
    <col min="19" max="19" width="12.7109375" style="1" bestFit="1" customWidth="1"/>
    <col min="20" max="20" width="14.7109375" style="1" customWidth="1"/>
    <col min="21" max="21" width="12.7109375" style="1" bestFit="1" customWidth="1"/>
    <col min="22" max="22" width="15.7109375" style="1" bestFit="1" customWidth="1"/>
    <col min="23" max="30" width="11.7109375" style="1" customWidth="1"/>
    <col min="31" max="31" width="13.85546875" style="1" bestFit="1" customWidth="1"/>
    <col min="32" max="33" width="11.7109375" style="1" customWidth="1"/>
    <col min="34" max="34" width="12.28515625" style="1" bestFit="1" customWidth="1"/>
    <col min="35" max="39" width="11.7109375" style="1" customWidth="1"/>
    <col min="40" max="40" width="12.28515625" style="1" bestFit="1" customWidth="1"/>
    <col min="41" max="41" width="12.140625" style="1" bestFit="1" customWidth="1"/>
    <col min="42" max="42" width="13.28515625" style="1" bestFit="1" customWidth="1"/>
    <col min="43" max="43" width="9.28515625" style="1" bestFit="1" customWidth="1"/>
    <col min="44" max="46" width="10.140625" style="1" bestFit="1" customWidth="1"/>
    <col min="47" max="16384" width="9.140625" style="1"/>
  </cols>
  <sheetData>
    <row r="1" spans="1:46" ht="17.25" customHeight="1" x14ac:dyDescent="0.25">
      <c r="E1" s="6"/>
      <c r="L1" s="5"/>
      <c r="R1" s="4"/>
      <c r="S1" s="4"/>
      <c r="X1" s="8"/>
      <c r="Y1" s="9"/>
      <c r="Z1" s="5"/>
      <c r="AB1" s="1" t="str">
        <f t="shared" ref="AB1:AC1" si="0">+IF(U1="Cty Ngọc Anh",J1, "")</f>
        <v/>
      </c>
      <c r="AC1" s="1" t="str">
        <f t="shared" si="0"/>
        <v/>
      </c>
      <c r="AE1" s="1" t="str">
        <f>+IF($V1="Cty Hoàng Quyên",$K1, "")</f>
        <v/>
      </c>
      <c r="AF1" s="1" t="str">
        <f>+IF($V1="Cty Hoàng Long",$K1, "")</f>
        <v/>
      </c>
      <c r="AG1" s="1" t="str">
        <f>+IF($V1="Cty An Hưng",$K1, "")</f>
        <v/>
      </c>
      <c r="AH1" s="1" t="str">
        <f>+IF($V1="Cty An Hưng",$K1, "")</f>
        <v/>
      </c>
      <c r="AI1" s="1" t="str">
        <f>+IF($V1="Cty An Hưng",$K1, "")</f>
        <v/>
      </c>
      <c r="AJ1" s="1" t="str">
        <f>+IF($V1="Cty Thành Năm",$K1, "")</f>
        <v/>
      </c>
      <c r="AK1" s="1" t="str">
        <f>+IF($V1="Cty Tân Hoàng Đạt",$K1, "")</f>
        <v/>
      </c>
      <c r="AL1" s="1" t="str">
        <f>+IF($V1="Cty Thái Bình Dương",$K1, "")</f>
        <v/>
      </c>
      <c r="AM1" s="1" t="str">
        <f>+IF($V1="Cty Việt Anh",$K1, "")</f>
        <v/>
      </c>
      <c r="AN1" s="1" t="str">
        <f>+IF($V1="Cty Thành Công",$K1, "")</f>
        <v/>
      </c>
      <c r="AO1" s="1" t="str">
        <f>+IF($V1="Cty Sông Hậu",$K1, "")</f>
        <v/>
      </c>
      <c r="AP1" s="1" t="str">
        <f>+IF($V1="Cty Hằng Phát",$K1, "")</f>
        <v/>
      </c>
    </row>
    <row r="2" spans="1:46" ht="22.5" x14ac:dyDescent="0.3">
      <c r="B2" s="328" t="s">
        <v>68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1" t="str">
        <f>+IF($V2="Cty Việt Anh",$K2, "")</f>
        <v/>
      </c>
      <c r="AN2" s="1" t="str">
        <f>+IF($V2="Cty Thành Công",$K2, "")</f>
        <v/>
      </c>
      <c r="AO2" s="1" t="str">
        <f>+IF($V2="Cty Sông Hậu",$K2, "")</f>
        <v/>
      </c>
      <c r="AP2" s="1" t="str">
        <f>+IF($V2="Cty Hằng Phát",$K2, "")</f>
        <v/>
      </c>
    </row>
    <row r="3" spans="1:46" ht="22.5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46" ht="22.5" x14ac:dyDescent="0.3">
      <c r="A4" s="2"/>
      <c r="B4" s="325" t="s">
        <v>58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7"/>
      <c r="W4" s="325" t="s">
        <v>59</v>
      </c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1" t="str">
        <f>+IF($V4="Cty Thành Công",$K4, "")</f>
        <v/>
      </c>
      <c r="AO4" s="1" t="str">
        <f>+IF($V4="Cty Sông Hậu",$K4, "")</f>
        <v/>
      </c>
      <c r="AP4" s="1" t="str">
        <f>+IF($V4="Cty Hằng Phát",$K4, "")</f>
        <v/>
      </c>
    </row>
    <row r="5" spans="1:46" s="10" customFormat="1" ht="43.5" thickBot="1" x14ac:dyDescent="0.3">
      <c r="A5" s="79" t="s">
        <v>160</v>
      </c>
      <c r="B5" s="68" t="s">
        <v>3</v>
      </c>
      <c r="C5" s="68" t="s">
        <v>61</v>
      </c>
      <c r="D5" s="68" t="s">
        <v>4</v>
      </c>
      <c r="E5" s="68" t="s">
        <v>13</v>
      </c>
      <c r="F5" s="68" t="s">
        <v>5</v>
      </c>
      <c r="G5" s="68" t="s">
        <v>42</v>
      </c>
      <c r="H5" s="68" t="s">
        <v>6</v>
      </c>
      <c r="I5" s="68" t="s">
        <v>7</v>
      </c>
      <c r="J5" s="68" t="s">
        <v>161</v>
      </c>
      <c r="K5" s="68" t="s">
        <v>8</v>
      </c>
      <c r="L5" s="69" t="s">
        <v>12</v>
      </c>
      <c r="M5" s="68" t="s">
        <v>43</v>
      </c>
      <c r="N5" s="68" t="s">
        <v>10</v>
      </c>
      <c r="O5" s="68" t="s">
        <v>162</v>
      </c>
      <c r="P5" s="68" t="s">
        <v>163</v>
      </c>
      <c r="Q5" s="68" t="s">
        <v>32</v>
      </c>
      <c r="R5" s="68" t="s">
        <v>18</v>
      </c>
      <c r="S5" s="68" t="s">
        <v>23</v>
      </c>
      <c r="T5" s="68" t="s">
        <v>21</v>
      </c>
      <c r="U5" s="68" t="s">
        <v>20</v>
      </c>
      <c r="V5" s="68" t="s">
        <v>9</v>
      </c>
      <c r="W5" s="79" t="s">
        <v>44</v>
      </c>
      <c r="X5" s="79" t="s">
        <v>45</v>
      </c>
      <c r="Y5" s="79" t="s">
        <v>46</v>
      </c>
      <c r="Z5" s="79" t="s">
        <v>47</v>
      </c>
      <c r="AA5" s="79" t="s">
        <v>48</v>
      </c>
      <c r="AB5" s="79" t="s">
        <v>49</v>
      </c>
      <c r="AC5" s="79" t="s">
        <v>64</v>
      </c>
      <c r="AD5" s="79" t="s">
        <v>52</v>
      </c>
      <c r="AE5" s="79" t="s">
        <v>50</v>
      </c>
      <c r="AF5" s="79" t="s">
        <v>51</v>
      </c>
      <c r="AG5" s="79" t="s">
        <v>53</v>
      </c>
      <c r="AH5" s="79" t="s">
        <v>56</v>
      </c>
      <c r="AI5" s="79" t="s">
        <v>57</v>
      </c>
      <c r="AJ5" s="79" t="s">
        <v>54</v>
      </c>
      <c r="AK5" s="79" t="s">
        <v>164</v>
      </c>
      <c r="AL5" s="79" t="s">
        <v>165</v>
      </c>
      <c r="AM5" s="70" t="s">
        <v>60</v>
      </c>
      <c r="AN5" s="70" t="s">
        <v>167</v>
      </c>
      <c r="AO5" s="10" t="str">
        <f>+IF($V5="Cty Sông Hậu",$K5, "")</f>
        <v/>
      </c>
      <c r="AP5" s="10" t="str">
        <f>+IF($V5="Cty Hằng Phát",$K5, "")</f>
        <v/>
      </c>
    </row>
    <row r="6" spans="1:46" ht="30" customHeight="1" thickTop="1" x14ac:dyDescent="0.25">
      <c r="A6" s="71"/>
      <c r="B6" s="72"/>
      <c r="C6" s="72"/>
      <c r="D6" s="72"/>
      <c r="E6" s="73"/>
      <c r="F6" s="72"/>
      <c r="G6" s="73"/>
      <c r="H6" s="72"/>
      <c r="I6" s="73">
        <v>1</v>
      </c>
      <c r="J6" s="74">
        <v>2</v>
      </c>
      <c r="K6" s="72" t="s">
        <v>22</v>
      </c>
      <c r="L6" s="75">
        <v>4</v>
      </c>
      <c r="M6" s="73"/>
      <c r="N6" s="72">
        <v>5</v>
      </c>
      <c r="O6" s="73">
        <v>6</v>
      </c>
      <c r="P6" s="72" t="s">
        <v>25</v>
      </c>
      <c r="Q6" s="72" t="s">
        <v>34</v>
      </c>
      <c r="R6" s="72" t="s">
        <v>26</v>
      </c>
      <c r="S6" s="72" t="s">
        <v>27</v>
      </c>
      <c r="T6" s="73" t="s">
        <v>33</v>
      </c>
      <c r="U6" s="73" t="s">
        <v>28</v>
      </c>
      <c r="V6" s="72"/>
      <c r="W6" s="71"/>
      <c r="X6" s="71"/>
      <c r="Y6" s="71"/>
      <c r="Z6" s="76"/>
      <c r="AA6" s="71"/>
      <c r="AB6" s="71" t="str">
        <f>+IF(U6="Cty Ngọc Anh",J6, "")</f>
        <v/>
      </c>
      <c r="AC6" s="71" t="str">
        <f>+IF(V6="Cty Ngọc Anh",K6, "")</f>
        <v/>
      </c>
      <c r="AD6" s="71"/>
      <c r="AE6" s="71" t="str">
        <f>+IF($V6="Cty Hoàng Quyên",$K6, "")</f>
        <v/>
      </c>
      <c r="AF6" s="71" t="str">
        <f>+IF($V6="Cty Hoàng Long",$K6, "")</f>
        <v/>
      </c>
      <c r="AG6" s="71" t="str">
        <f>+IF($V6="Cty An Hưng",$K6, "")</f>
        <v/>
      </c>
      <c r="AH6" s="71" t="str">
        <f>+IF($V6="Cty An Hưng",$K6, "")</f>
        <v/>
      </c>
      <c r="AI6" s="71" t="str">
        <f>+IF($V6="Cty An Hưng",$K6, "")</f>
        <v/>
      </c>
      <c r="AJ6" s="71" t="str">
        <f>+IF($V6="Cty Thành Năm",$K6, "")</f>
        <v/>
      </c>
      <c r="AK6" s="71" t="str">
        <f>+IF($V6="Cty Tân Hoàng Đạt",$K6, "")</f>
        <v/>
      </c>
      <c r="AL6" s="71" t="str">
        <f>+IF($V6="Cty Thái Bình Dương",$K6, "")</f>
        <v/>
      </c>
      <c r="AM6" s="77" t="str">
        <f>+IF($V6="Cty Việt Anh",$K6, "")</f>
        <v/>
      </c>
      <c r="AN6" s="77" t="str">
        <f>+IF($V6="Cty Thành Công",$K6, "")</f>
        <v/>
      </c>
      <c r="AO6" s="13">
        <v>45932.5625</v>
      </c>
      <c r="AP6" s="13">
        <v>45940.8125</v>
      </c>
      <c r="AQ6" s="12">
        <f>++AP6-AO6</f>
        <v>8.25</v>
      </c>
      <c r="AR6" s="11" t="e">
        <f>+AJ6/31*AQ6</f>
        <v>#VALUE!</v>
      </c>
      <c r="AS6" s="11" t="e">
        <f>+AG6/31*AQ6</f>
        <v>#VALUE!</v>
      </c>
      <c r="AT6" s="11" t="e">
        <f>+AI6/31*AQ6</f>
        <v>#VALUE!</v>
      </c>
    </row>
    <row r="7" spans="1:46" x14ac:dyDescent="0.25">
      <c r="A7" s="1" t="str" cm="1">
        <f t="array" ref="A7">+_xlfn._xlws.FILTER('So lieu khai thac'!A5:AT417,'So lieu khai thac'!A5:A417=12,"")</f>
        <v/>
      </c>
      <c r="J7" s="5"/>
      <c r="K7" s="5"/>
      <c r="N7" s="5"/>
      <c r="O7" s="5"/>
      <c r="P7" s="5"/>
      <c r="Q7" s="5"/>
      <c r="R7" s="5"/>
      <c r="S7" s="5"/>
      <c r="T7" s="5"/>
      <c r="U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6" x14ac:dyDescent="0.25">
      <c r="J8" s="5"/>
      <c r="K8" s="5"/>
      <c r="N8" s="5"/>
      <c r="O8" s="5"/>
      <c r="P8" s="5"/>
      <c r="Q8" s="5"/>
      <c r="R8" s="5"/>
      <c r="S8" s="5"/>
      <c r="T8" s="5"/>
      <c r="U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6" x14ac:dyDescent="0.25">
      <c r="J9" s="5"/>
      <c r="K9" s="5"/>
      <c r="N9" s="5"/>
      <c r="O9" s="5"/>
      <c r="P9" s="5"/>
      <c r="Q9" s="5"/>
      <c r="R9" s="5"/>
      <c r="S9" s="5"/>
      <c r="T9" s="5"/>
      <c r="U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6" x14ac:dyDescent="0.25">
      <c r="J10" s="5"/>
      <c r="K10" s="5"/>
      <c r="N10" s="5"/>
      <c r="O10" s="5"/>
      <c r="P10" s="5"/>
      <c r="Q10" s="5"/>
      <c r="R10" s="5"/>
      <c r="S10" s="5"/>
      <c r="T10" s="5"/>
      <c r="U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6" x14ac:dyDescent="0.25">
      <c r="J11" s="5"/>
      <c r="K11" s="5"/>
      <c r="N11" s="5"/>
      <c r="O11" s="5"/>
      <c r="P11" s="5"/>
      <c r="Q11" s="5"/>
      <c r="R11" s="5"/>
      <c r="S11" s="5"/>
      <c r="T11" s="5"/>
      <c r="U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6" x14ac:dyDescent="0.25">
      <c r="J12" s="5"/>
      <c r="K12" s="5"/>
      <c r="N12" s="5"/>
      <c r="O12" s="5"/>
      <c r="P12" s="5"/>
      <c r="Q12" s="5"/>
      <c r="R12" s="5"/>
      <c r="S12" s="5"/>
      <c r="T12" s="5"/>
      <c r="U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6" x14ac:dyDescent="0.25">
      <c r="J13" s="5"/>
      <c r="K13" s="5"/>
      <c r="N13" s="5"/>
      <c r="O13" s="5"/>
      <c r="P13" s="5"/>
      <c r="Q13" s="5"/>
      <c r="R13" s="5"/>
      <c r="S13" s="5"/>
      <c r="T13" s="5"/>
      <c r="U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6" x14ac:dyDescent="0.25">
      <c r="J14" s="5"/>
      <c r="K14" s="5"/>
      <c r="N14" s="5"/>
      <c r="O14" s="5"/>
      <c r="P14" s="5"/>
      <c r="Q14" s="5"/>
      <c r="R14" s="5"/>
      <c r="S14" s="5"/>
      <c r="T14" s="5"/>
      <c r="U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6" x14ac:dyDescent="0.25">
      <c r="J15" s="5"/>
      <c r="K15" s="5"/>
      <c r="N15" s="5"/>
      <c r="O15" s="5"/>
      <c r="P15" s="5"/>
      <c r="Q15" s="5"/>
      <c r="R15" s="5"/>
      <c r="S15" s="5"/>
      <c r="T15" s="5"/>
      <c r="U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6" x14ac:dyDescent="0.25">
      <c r="J16" s="5"/>
      <c r="K16" s="5"/>
      <c r="N16" s="5"/>
      <c r="O16" s="5"/>
      <c r="P16" s="5"/>
      <c r="Q16" s="5"/>
      <c r="R16" s="5"/>
      <c r="S16" s="5"/>
      <c r="T16" s="5"/>
      <c r="U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5">
      <c r="J17" s="5"/>
      <c r="K17" s="5"/>
      <c r="N17" s="5"/>
      <c r="O17" s="5"/>
      <c r="P17" s="5"/>
      <c r="Q17" s="5"/>
      <c r="R17" s="5"/>
      <c r="S17" s="5"/>
      <c r="T17" s="5"/>
      <c r="U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5"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40" x14ac:dyDescent="0.25"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40" x14ac:dyDescent="0.25"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40" x14ac:dyDescent="0.25"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40" ht="15.75" thickBot="1" x14ac:dyDescent="0.3"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40" ht="15.75" thickTop="1" x14ac:dyDescent="0.25">
      <c r="B23" s="333" t="s">
        <v>180</v>
      </c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334"/>
      <c r="O23" s="33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40" x14ac:dyDescent="0.25">
      <c r="B24" s="336"/>
      <c r="C24" s="337"/>
      <c r="D24" s="337"/>
      <c r="E24" s="337"/>
      <c r="F24" s="337"/>
      <c r="G24" s="337"/>
      <c r="H24" s="337"/>
      <c r="I24" s="337"/>
      <c r="J24" s="337"/>
      <c r="K24" s="337"/>
      <c r="L24" s="337"/>
      <c r="M24" s="337"/>
      <c r="N24" s="337"/>
      <c r="O24" s="338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40" ht="15.75" thickBot="1" x14ac:dyDescent="0.3">
      <c r="B25" s="236"/>
      <c r="O25" s="237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40" ht="15.75" thickTop="1" x14ac:dyDescent="0.25">
      <c r="A26" s="216"/>
      <c r="B26" s="217" t="s">
        <v>70</v>
      </c>
      <c r="C26" s="218" t="s">
        <v>2</v>
      </c>
      <c r="D26" s="229"/>
      <c r="E26" s="218" t="s">
        <v>70</v>
      </c>
      <c r="F26" s="218" t="s">
        <v>0</v>
      </c>
      <c r="G26" s="229"/>
      <c r="H26" s="218" t="s">
        <v>70</v>
      </c>
      <c r="I26" s="218" t="s">
        <v>11</v>
      </c>
      <c r="J26" s="229"/>
      <c r="K26" s="218" t="s">
        <v>70</v>
      </c>
      <c r="L26" s="218" t="s">
        <v>65</v>
      </c>
      <c r="M26" s="232"/>
      <c r="N26" s="218" t="s">
        <v>70</v>
      </c>
      <c r="O26" s="219" t="s">
        <v>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40" x14ac:dyDescent="0.25">
      <c r="A27" s="216"/>
      <c r="B27" s="220" t="s">
        <v>166</v>
      </c>
      <c r="C27" s="221">
        <f>+COUNTIF($B$7:$B$24,C$26)</f>
        <v>0</v>
      </c>
      <c r="D27" s="230"/>
      <c r="E27" s="221" t="s">
        <v>166</v>
      </c>
      <c r="F27" s="221">
        <f>+COUNTIF($B$7:$B$24,F$26)</f>
        <v>0</v>
      </c>
      <c r="G27" s="230"/>
      <c r="H27" s="221" t="s">
        <v>166</v>
      </c>
      <c r="I27" s="221">
        <f>+COUNTIF($B$7:$B$24,I$26)</f>
        <v>0</v>
      </c>
      <c r="J27" s="230"/>
      <c r="K27" s="221" t="s">
        <v>166</v>
      </c>
      <c r="L27" s="221">
        <f>+COUNTIF($B$7:$B$24,L$26)</f>
        <v>0</v>
      </c>
      <c r="M27" s="233"/>
      <c r="N27" s="221" t="s">
        <v>166</v>
      </c>
      <c r="O27" s="222">
        <f>+COUNTIF($B$7:$B$24,O$26)</f>
        <v>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40" x14ac:dyDescent="0.25">
      <c r="A28" s="216"/>
      <c r="B28" s="220" t="s">
        <v>58</v>
      </c>
      <c r="C28" s="223">
        <f>+SUMIF($B$7:$B$24,C26,$K$7:$K$24)</f>
        <v>0</v>
      </c>
      <c r="D28" s="230"/>
      <c r="E28" s="221" t="s">
        <v>58</v>
      </c>
      <c r="F28" s="223">
        <f>+SUMIF($B$7:$B$24,F26,$K$7:$K$24)</f>
        <v>0</v>
      </c>
      <c r="G28" s="230"/>
      <c r="H28" s="221" t="s">
        <v>58</v>
      </c>
      <c r="I28" s="223">
        <f>+SUMIF($B$7:$B$24,I26,$K$7:$K$24)</f>
        <v>0</v>
      </c>
      <c r="J28" s="230"/>
      <c r="K28" s="221" t="s">
        <v>58</v>
      </c>
      <c r="L28" s="223">
        <f>+SUMIF($B$7:$B$24,L26,$K$7:$K$24)</f>
        <v>0</v>
      </c>
      <c r="M28" s="234"/>
      <c r="N28" s="221" t="s">
        <v>58</v>
      </c>
      <c r="O28" s="224">
        <f>+SUMIF($B$7:$B$24,O26,$K$7:$K$24)</f>
        <v>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40" x14ac:dyDescent="0.25">
      <c r="A29" s="216"/>
      <c r="B29" s="220" t="s">
        <v>79</v>
      </c>
      <c r="C29" s="223">
        <f>+SUMIF($B$7:$B$24,C26,$AN$7:$AN$24)</f>
        <v>0</v>
      </c>
      <c r="D29" s="230"/>
      <c r="E29" s="221" t="s">
        <v>79</v>
      </c>
      <c r="F29" s="223">
        <f>+SUMIF($B$7:$B$24,F26,$AN$7:$AN$24)</f>
        <v>0</v>
      </c>
      <c r="G29" s="230"/>
      <c r="H29" s="221" t="s">
        <v>79</v>
      </c>
      <c r="I29" s="223">
        <f>+SUMIF($B$7:$B$24,I26,$AN$7:$AN$24)</f>
        <v>0</v>
      </c>
      <c r="J29" s="230"/>
      <c r="K29" s="221" t="s">
        <v>79</v>
      </c>
      <c r="L29" s="223">
        <f>+SUMIF($B$7:$B$24,L26,$AN$7:$AN$24)</f>
        <v>0</v>
      </c>
      <c r="M29" s="234"/>
      <c r="N29" s="221" t="s">
        <v>79</v>
      </c>
      <c r="O29" s="224">
        <f>+SUMIF($B$7:$B$24,O26,$AN$7:$AN$24)</f>
        <v>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40" ht="15.75" thickBot="1" x14ac:dyDescent="0.3">
      <c r="A30" s="216"/>
      <c r="B30" s="225" t="s">
        <v>78</v>
      </c>
      <c r="C30" s="226">
        <f>+C28-C29</f>
        <v>0</v>
      </c>
      <c r="D30" s="231"/>
      <c r="E30" s="227" t="s">
        <v>78</v>
      </c>
      <c r="F30" s="226">
        <f>+F28-F29</f>
        <v>0</v>
      </c>
      <c r="G30" s="231"/>
      <c r="H30" s="227" t="s">
        <v>78</v>
      </c>
      <c r="I30" s="226">
        <f>+I28-I29</f>
        <v>0</v>
      </c>
      <c r="J30" s="231"/>
      <c r="K30" s="227" t="s">
        <v>78</v>
      </c>
      <c r="L30" s="226">
        <f>+L28-L29</f>
        <v>0</v>
      </c>
      <c r="M30" s="235"/>
      <c r="N30" s="227" t="s">
        <v>78</v>
      </c>
      <c r="O30" s="228">
        <f>+O28-O29</f>
        <v>0</v>
      </c>
    </row>
    <row r="31" spans="1:40" ht="15.75" thickTop="1" x14ac:dyDescent="0.25">
      <c r="B31" s="236"/>
      <c r="O31" s="237"/>
    </row>
    <row r="32" spans="1:40" s="238" customFormat="1" ht="20.100000000000001" customHeight="1" x14ac:dyDescent="0.25">
      <c r="B32" s="239"/>
      <c r="E32" s="329" t="s">
        <v>169</v>
      </c>
      <c r="F32" s="329"/>
      <c r="G32" s="330">
        <f>+C28+F28+I28+L28+O28</f>
        <v>0</v>
      </c>
      <c r="H32" s="330"/>
      <c r="O32" s="240"/>
    </row>
    <row r="33" spans="2:15" s="238" customFormat="1" ht="20.100000000000001" customHeight="1" x14ac:dyDescent="0.25">
      <c r="B33" s="239"/>
      <c r="E33" s="329" t="s">
        <v>170</v>
      </c>
      <c r="F33" s="329"/>
      <c r="G33" s="330">
        <f>+C29+F29+I29+L29+O29</f>
        <v>0</v>
      </c>
      <c r="H33" s="330"/>
      <c r="O33" s="240"/>
    </row>
    <row r="34" spans="2:15" s="238" customFormat="1" ht="20.100000000000001" customHeight="1" thickBot="1" x14ac:dyDescent="0.3">
      <c r="B34" s="241"/>
      <c r="C34" s="242"/>
      <c r="D34" s="242"/>
      <c r="E34" s="331" t="s">
        <v>171</v>
      </c>
      <c r="F34" s="331"/>
      <c r="G34" s="332">
        <f>+C30+F30+I30+L30+O30</f>
        <v>0</v>
      </c>
      <c r="H34" s="332"/>
      <c r="I34" s="242"/>
      <c r="J34" s="242"/>
      <c r="K34" s="242"/>
      <c r="L34" s="242"/>
      <c r="M34" s="242"/>
      <c r="N34" s="242"/>
      <c r="O34" s="243"/>
    </row>
    <row r="35" spans="2:15" ht="15.75" thickTop="1" x14ac:dyDescent="0.25"/>
  </sheetData>
  <mergeCells count="10">
    <mergeCell ref="E33:F33"/>
    <mergeCell ref="G33:H33"/>
    <mergeCell ref="E34:F34"/>
    <mergeCell ref="G34:H34"/>
    <mergeCell ref="B2:AL2"/>
    <mergeCell ref="B4:V4"/>
    <mergeCell ref="W4:AM4"/>
    <mergeCell ref="B23:O24"/>
    <mergeCell ref="E32:F32"/>
    <mergeCell ref="G32:H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914B-CE0A-4E0A-A745-8371F5923A3C}">
  <dimension ref="A1:AT41"/>
  <sheetViews>
    <sheetView topLeftCell="A25" workbookViewId="0">
      <selection activeCell="E26" sqref="E26"/>
    </sheetView>
  </sheetViews>
  <sheetFormatPr defaultRowHeight="15" x14ac:dyDescent="0.25"/>
  <cols>
    <col min="1" max="1" width="9.28515625" style="1" bestFit="1" customWidth="1"/>
    <col min="2" max="3" width="13.85546875" style="1" bestFit="1" customWidth="1"/>
    <col min="4" max="4" width="9.140625" style="1"/>
    <col min="5" max="6" width="13.85546875" style="1" bestFit="1" customWidth="1"/>
    <col min="7" max="7" width="9.28515625" style="1" bestFit="1" customWidth="1"/>
    <col min="8" max="9" width="13.85546875" style="1" bestFit="1" customWidth="1"/>
    <col min="10" max="10" width="13" style="1" customWidth="1"/>
    <col min="11" max="11" width="13.85546875" style="1" bestFit="1" customWidth="1"/>
    <col min="12" max="12" width="14.28515625" style="1" customWidth="1"/>
    <col min="13" max="13" width="9.28515625" style="1" bestFit="1" customWidth="1"/>
    <col min="14" max="16" width="13.85546875" style="1" bestFit="1" customWidth="1"/>
    <col min="17" max="17" width="12.28515625" style="1" bestFit="1" customWidth="1"/>
    <col min="18" max="18" width="13.85546875" style="1" bestFit="1" customWidth="1"/>
    <col min="19" max="19" width="12.7109375" style="1" bestFit="1" customWidth="1"/>
    <col min="20" max="20" width="14.7109375" style="1" customWidth="1"/>
    <col min="21" max="21" width="12.7109375" style="1" bestFit="1" customWidth="1"/>
    <col min="22" max="22" width="15.7109375" style="1" bestFit="1" customWidth="1"/>
    <col min="23" max="25" width="11.7109375" style="1" customWidth="1"/>
    <col min="26" max="26" width="12.28515625" style="1" bestFit="1" customWidth="1"/>
    <col min="27" max="30" width="11.7109375" style="1" customWidth="1"/>
    <col min="31" max="31" width="13.85546875" style="1" bestFit="1" customWidth="1"/>
    <col min="32" max="33" width="11.7109375" style="1" customWidth="1"/>
    <col min="34" max="34" width="12.28515625" style="1" bestFit="1" customWidth="1"/>
    <col min="35" max="39" width="11.7109375" style="1" customWidth="1"/>
    <col min="40" max="40" width="12.28515625" style="1" bestFit="1" customWidth="1"/>
    <col min="41" max="41" width="12.140625" style="1" bestFit="1" customWidth="1"/>
    <col min="42" max="42" width="13.28515625" style="1" bestFit="1" customWidth="1"/>
    <col min="43" max="43" width="9.28515625" style="1" bestFit="1" customWidth="1"/>
    <col min="44" max="46" width="10.140625" style="1" bestFit="1" customWidth="1"/>
    <col min="47" max="16384" width="9.140625" style="1"/>
  </cols>
  <sheetData>
    <row r="1" spans="1:46" ht="17.25" customHeight="1" x14ac:dyDescent="0.25">
      <c r="E1" s="6"/>
      <c r="L1" s="5"/>
      <c r="R1" s="4"/>
      <c r="S1" s="4"/>
      <c r="X1" s="8"/>
      <c r="Y1" s="9"/>
      <c r="Z1" s="5"/>
      <c r="AB1" s="1" t="str">
        <f t="shared" ref="AB1:AC1" si="0">+IF(U1="Cty Ngọc Anh",J1, "")</f>
        <v/>
      </c>
      <c r="AC1" s="1" t="str">
        <f t="shared" si="0"/>
        <v/>
      </c>
      <c r="AE1" s="1" t="str">
        <f>+IF($V1="Cty Hoàng Quyên",$K1, "")</f>
        <v/>
      </c>
      <c r="AF1" s="1" t="str">
        <f>+IF($V1="Cty Hoàng Long",$K1, "")</f>
        <v/>
      </c>
      <c r="AG1" s="1" t="str">
        <f>+IF($V1="Cty An Hưng",$K1, "")</f>
        <v/>
      </c>
      <c r="AH1" s="1" t="str">
        <f>+IF($V1="Cty An Hưng",$K1, "")</f>
        <v/>
      </c>
      <c r="AI1" s="1" t="str">
        <f>+IF($V1="Cty An Hưng",$K1, "")</f>
        <v/>
      </c>
      <c r="AJ1" s="1" t="str">
        <f>+IF($V1="Cty Thành Năm",$K1, "")</f>
        <v/>
      </c>
      <c r="AK1" s="1" t="str">
        <f>+IF($V1="Cty Tân Hoàng Đạt",$K1, "")</f>
        <v/>
      </c>
      <c r="AL1" s="1" t="str">
        <f>+IF($V1="Cty Thái Bình Dương",$K1, "")</f>
        <v/>
      </c>
      <c r="AM1" s="1" t="str">
        <f>+IF($V1="Cty Việt Anh",$K1, "")</f>
        <v/>
      </c>
      <c r="AN1" s="1" t="str">
        <f>+IF($V1="Cty Thành Công",$K1, "")</f>
        <v/>
      </c>
      <c r="AO1" s="1" t="str">
        <f>+IF($V1="Cty Sông Hậu",$K1, "")</f>
        <v/>
      </c>
      <c r="AP1" s="1" t="str">
        <f>+IF($V1="Cty Hằng Phát",$K1, "")</f>
        <v/>
      </c>
    </row>
    <row r="2" spans="1:46" ht="22.5" x14ac:dyDescent="0.3">
      <c r="B2" s="328" t="s">
        <v>68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1" t="str">
        <f>+IF($V2="Cty Việt Anh",$K2, "")</f>
        <v/>
      </c>
      <c r="AN2" s="1" t="str">
        <f>+IF($V2="Cty Thành Công",$K2, "")</f>
        <v/>
      </c>
      <c r="AO2" s="1" t="str">
        <f>+IF($V2="Cty Sông Hậu",$K2, "")</f>
        <v/>
      </c>
      <c r="AP2" s="1" t="str">
        <f>+IF($V2="Cty Hằng Phát",$K2, "")</f>
        <v/>
      </c>
    </row>
    <row r="3" spans="1:46" ht="22.5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46" ht="22.5" x14ac:dyDescent="0.3">
      <c r="A4" s="2"/>
      <c r="B4" s="325" t="s">
        <v>58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7"/>
      <c r="W4" s="325" t="s">
        <v>59</v>
      </c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1" t="str">
        <f>+IF($V4="Cty Thành Công",$K4, "")</f>
        <v/>
      </c>
      <c r="AO4" s="1" t="str">
        <f>+IF($V4="Cty Sông Hậu",$K4, "")</f>
        <v/>
      </c>
      <c r="AP4" s="1" t="str">
        <f>+IF($V4="Cty Hằng Phát",$K4, "")</f>
        <v/>
      </c>
    </row>
    <row r="5" spans="1:46" s="10" customFormat="1" ht="43.5" thickBot="1" x14ac:dyDescent="0.3">
      <c r="A5" s="79" t="s">
        <v>160</v>
      </c>
      <c r="B5" s="68" t="s">
        <v>3</v>
      </c>
      <c r="C5" s="68" t="s">
        <v>61</v>
      </c>
      <c r="D5" s="68" t="s">
        <v>4</v>
      </c>
      <c r="E5" s="68" t="s">
        <v>13</v>
      </c>
      <c r="F5" s="68" t="s">
        <v>5</v>
      </c>
      <c r="G5" s="68" t="s">
        <v>42</v>
      </c>
      <c r="H5" s="68" t="s">
        <v>6</v>
      </c>
      <c r="I5" s="68" t="s">
        <v>7</v>
      </c>
      <c r="J5" s="68" t="s">
        <v>161</v>
      </c>
      <c r="K5" s="68" t="s">
        <v>8</v>
      </c>
      <c r="L5" s="69" t="s">
        <v>12</v>
      </c>
      <c r="M5" s="68" t="s">
        <v>43</v>
      </c>
      <c r="N5" s="68" t="s">
        <v>10</v>
      </c>
      <c r="O5" s="68" t="s">
        <v>162</v>
      </c>
      <c r="P5" s="68" t="s">
        <v>163</v>
      </c>
      <c r="Q5" s="68" t="s">
        <v>32</v>
      </c>
      <c r="R5" s="68" t="s">
        <v>18</v>
      </c>
      <c r="S5" s="68" t="s">
        <v>23</v>
      </c>
      <c r="T5" s="68" t="s">
        <v>21</v>
      </c>
      <c r="U5" s="68" t="s">
        <v>20</v>
      </c>
      <c r="V5" s="68" t="s">
        <v>9</v>
      </c>
      <c r="W5" s="79" t="s">
        <v>44</v>
      </c>
      <c r="X5" s="79" t="s">
        <v>45</v>
      </c>
      <c r="Y5" s="79" t="s">
        <v>46</v>
      </c>
      <c r="Z5" s="79" t="s">
        <v>47</v>
      </c>
      <c r="AA5" s="79" t="s">
        <v>48</v>
      </c>
      <c r="AB5" s="79" t="s">
        <v>49</v>
      </c>
      <c r="AC5" s="79" t="s">
        <v>64</v>
      </c>
      <c r="AD5" s="79" t="s">
        <v>52</v>
      </c>
      <c r="AE5" s="79" t="s">
        <v>50</v>
      </c>
      <c r="AF5" s="79" t="s">
        <v>51</v>
      </c>
      <c r="AG5" s="79" t="s">
        <v>53</v>
      </c>
      <c r="AH5" s="79" t="s">
        <v>56</v>
      </c>
      <c r="AI5" s="79" t="s">
        <v>57</v>
      </c>
      <c r="AJ5" s="79" t="s">
        <v>54</v>
      </c>
      <c r="AK5" s="79" t="s">
        <v>164</v>
      </c>
      <c r="AL5" s="79" t="s">
        <v>165</v>
      </c>
      <c r="AM5" s="70" t="s">
        <v>60</v>
      </c>
      <c r="AN5" s="70" t="s">
        <v>167</v>
      </c>
      <c r="AO5" s="10" t="str">
        <f>+IF($V5="Cty Sông Hậu",$K5, "")</f>
        <v/>
      </c>
      <c r="AP5" s="10" t="str">
        <f>+IF($V5="Cty Hằng Phát",$K5, "")</f>
        <v/>
      </c>
    </row>
    <row r="6" spans="1:46" ht="30" customHeight="1" thickTop="1" x14ac:dyDescent="0.25">
      <c r="A6" s="71"/>
      <c r="B6" s="72"/>
      <c r="C6" s="72"/>
      <c r="D6" s="72"/>
      <c r="E6" s="73"/>
      <c r="F6" s="72"/>
      <c r="G6" s="73"/>
      <c r="H6" s="72"/>
      <c r="I6" s="73">
        <v>1</v>
      </c>
      <c r="J6" s="74">
        <v>2</v>
      </c>
      <c r="K6" s="72" t="s">
        <v>22</v>
      </c>
      <c r="L6" s="75">
        <v>4</v>
      </c>
      <c r="M6" s="73"/>
      <c r="N6" s="72">
        <v>5</v>
      </c>
      <c r="O6" s="73">
        <v>6</v>
      </c>
      <c r="P6" s="72" t="s">
        <v>25</v>
      </c>
      <c r="Q6" s="72" t="s">
        <v>34</v>
      </c>
      <c r="R6" s="72" t="s">
        <v>26</v>
      </c>
      <c r="S6" s="72" t="s">
        <v>27</v>
      </c>
      <c r="T6" s="73" t="s">
        <v>33</v>
      </c>
      <c r="U6" s="73" t="s">
        <v>28</v>
      </c>
      <c r="V6" s="72"/>
      <c r="W6" s="71"/>
      <c r="X6" s="71"/>
      <c r="Y6" s="71"/>
      <c r="Z6" s="76"/>
      <c r="AA6" s="71"/>
      <c r="AB6" s="71" t="str">
        <f>+IF(U6="Cty Ngọc Anh",J6, "")</f>
        <v/>
      </c>
      <c r="AC6" s="71" t="str">
        <f>+IF(V6="Cty Ngọc Anh",K6, "")</f>
        <v/>
      </c>
      <c r="AD6" s="71"/>
      <c r="AE6" s="71" t="str">
        <f>+IF($V6="Cty Hoàng Quyên",$K6, "")</f>
        <v/>
      </c>
      <c r="AF6" s="71" t="str">
        <f>+IF($V6="Cty Hoàng Long",$K6, "")</f>
        <v/>
      </c>
      <c r="AG6" s="71" t="str">
        <f>+IF($V6="Cty An Hưng",$K6, "")</f>
        <v/>
      </c>
      <c r="AH6" s="71" t="str">
        <f>+IF($V6="Cty An Hưng",$K6, "")</f>
        <v/>
      </c>
      <c r="AI6" s="71" t="str">
        <f>+IF($V6="Cty An Hưng",$K6, "")</f>
        <v/>
      </c>
      <c r="AJ6" s="71" t="str">
        <f>+IF($V6="Cty Thành Năm",$K6, "")</f>
        <v/>
      </c>
      <c r="AK6" s="71" t="str">
        <f>+IF($V6="Cty Tân Hoàng Đạt",$K6, "")</f>
        <v/>
      </c>
      <c r="AL6" s="71" t="str">
        <f>+IF($V6="Cty Thái Bình Dương",$K6, "")</f>
        <v/>
      </c>
      <c r="AM6" s="77" t="str">
        <f>+IF($V6="Cty Việt Anh",$K6, "")</f>
        <v/>
      </c>
      <c r="AN6" s="77" t="str">
        <f>+IF($V6="Cty Thành Công",$K6, "")</f>
        <v/>
      </c>
      <c r="AO6" s="13">
        <v>45932.5625</v>
      </c>
      <c r="AP6" s="13">
        <v>45940.8125</v>
      </c>
      <c r="AQ6" s="12">
        <f>++AP6-AO6</f>
        <v>8.25</v>
      </c>
      <c r="AR6" s="11" t="e">
        <f>+AJ6/31*AQ6</f>
        <v>#VALUE!</v>
      </c>
      <c r="AS6" s="11" t="e">
        <f>+AG6/31*AQ6</f>
        <v>#VALUE!</v>
      </c>
      <c r="AT6" s="11" t="e">
        <f>+AI6/31*AQ6</f>
        <v>#VALUE!</v>
      </c>
    </row>
    <row r="7" spans="1:46" x14ac:dyDescent="0.25">
      <c r="A7" s="1" cm="1">
        <f t="array" ref="A7:AT21">+_xlfn._xlws.FILTER('So lieu khai thac'!A5:AT417,'So lieu khai thac'!A5:A417=12026,"")</f>
        <v>12026</v>
      </c>
      <c r="B7" s="1" t="str">
        <v>VG05</v>
      </c>
      <c r="C7" s="1" t="str">
        <v>C1</v>
      </c>
      <c r="D7" s="1" t="str">
        <v>Cát</v>
      </c>
      <c r="E7" s="1">
        <v>46018</v>
      </c>
      <c r="F7" s="1" t="str">
        <v>Vĩnh Xương</v>
      </c>
      <c r="G7" s="1">
        <v>46024</v>
      </c>
      <c r="H7" s="1" t="str">
        <v>Đà Nẵng</v>
      </c>
      <c r="I7" s="1">
        <v>3922.05</v>
      </c>
      <c r="J7" s="5">
        <v>125000</v>
      </c>
      <c r="K7" s="5">
        <v>490256250</v>
      </c>
      <c r="L7" s="1">
        <v>2</v>
      </c>
      <c r="M7" s="1" t="str">
        <v>7/1</v>
      </c>
      <c r="N7" s="5">
        <v>13000</v>
      </c>
      <c r="O7" s="5">
        <v>127777.77777777777</v>
      </c>
      <c r="P7" s="5">
        <v>501150833.33333331</v>
      </c>
      <c r="Q7" s="5">
        <v>40092066.666666664</v>
      </c>
      <c r="R7" s="5">
        <v>541242900</v>
      </c>
      <c r="S7" s="5">
        <v>50986650</v>
      </c>
      <c r="T7" s="5">
        <v>13218761.11111111</v>
      </c>
      <c r="U7" s="5">
        <v>37767888.888888888</v>
      </c>
      <c r="V7" s="1" t="str">
        <v>Hoàng Quyên</v>
      </c>
      <c r="W7" s="5">
        <v>0</v>
      </c>
      <c r="X7" s="5">
        <v>541242900</v>
      </c>
      <c r="Y7" s="5">
        <v>0</v>
      </c>
      <c r="Z7" s="5">
        <v>0</v>
      </c>
      <c r="AA7" s="5">
        <v>0</v>
      </c>
      <c r="AB7" s="5">
        <v>0</v>
      </c>
      <c r="AC7" s="5">
        <v>9312140</v>
      </c>
      <c r="AD7" s="5">
        <v>0</v>
      </c>
      <c r="AE7" s="5">
        <v>2500000</v>
      </c>
      <c r="AF7" s="5">
        <v>15699000</v>
      </c>
      <c r="AG7" s="5">
        <v>0</v>
      </c>
      <c r="AH7" s="5">
        <v>0</v>
      </c>
      <c r="AI7" s="5">
        <v>0</v>
      </c>
      <c r="AJ7" s="5">
        <v>11137000</v>
      </c>
      <c r="AK7" s="5">
        <v>310565000</v>
      </c>
      <c r="AL7" s="5">
        <v>0</v>
      </c>
      <c r="AM7" s="5">
        <v>223811168</v>
      </c>
      <c r="AN7" s="5">
        <v>39220500</v>
      </c>
      <c r="AO7" s="1">
        <v>10069583</v>
      </c>
      <c r="AP7" s="1">
        <v>46980000</v>
      </c>
      <c r="AQ7" s="1">
        <v>14888000</v>
      </c>
      <c r="AR7" s="1">
        <v>4706000</v>
      </c>
      <c r="AS7" s="1">
        <v>0</v>
      </c>
      <c r="AT7" s="1">
        <v>688888391</v>
      </c>
    </row>
    <row r="8" spans="1:46" x14ac:dyDescent="0.25">
      <c r="A8" s="1">
        <v>12026</v>
      </c>
      <c r="B8" s="1" t="str">
        <v>VG05</v>
      </c>
      <c r="C8" s="1" t="str">
        <v>C2</v>
      </c>
      <c r="D8" s="1" t="str">
        <v>Clinker</v>
      </c>
      <c r="E8" s="1">
        <v>46025</v>
      </c>
      <c r="F8" s="1" t="str">
        <v>Chân Mây</v>
      </c>
      <c r="G8" s="1">
        <v>46035</v>
      </c>
      <c r="H8" s="1" t="str">
        <v>Hậu Giang</v>
      </c>
      <c r="I8" s="1">
        <v>3987.95</v>
      </c>
      <c r="J8" s="5">
        <v>160000</v>
      </c>
      <c r="K8" s="5">
        <v>638072000</v>
      </c>
      <c r="L8" s="1">
        <v>4</v>
      </c>
      <c r="M8" s="1" t="str">
        <v>16/1</v>
      </c>
      <c r="N8" s="5">
        <v>0</v>
      </c>
      <c r="O8" s="5">
        <v>148148.14814814815</v>
      </c>
      <c r="P8" s="5">
        <v>590807407.4074074</v>
      </c>
      <c r="Q8" s="5">
        <v>47264592.59259259</v>
      </c>
      <c r="R8" s="5">
        <v>638072000</v>
      </c>
      <c r="S8" s="5">
        <v>0</v>
      </c>
      <c r="T8" s="5">
        <v>0</v>
      </c>
      <c r="U8" s="5">
        <v>0</v>
      </c>
      <c r="V8" s="1" t="str">
        <v>Bình Minh</v>
      </c>
      <c r="W8" s="5">
        <v>0</v>
      </c>
      <c r="X8" s="5">
        <v>638072000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8893400</v>
      </c>
      <c r="AE8" s="5">
        <v>17406000</v>
      </c>
      <c r="AF8" s="5">
        <v>2000000</v>
      </c>
      <c r="AG8" s="5">
        <v>0</v>
      </c>
      <c r="AH8" s="5">
        <v>0</v>
      </c>
      <c r="AI8" s="5">
        <v>9900000</v>
      </c>
      <c r="AJ8" s="5">
        <v>7425000</v>
      </c>
      <c r="AK8" s="5">
        <v>393915500</v>
      </c>
      <c r="AL8" s="5">
        <v>0</v>
      </c>
      <c r="AM8" s="5">
        <v>15712000</v>
      </c>
      <c r="AN8" s="5">
        <v>51045760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506297660</v>
      </c>
    </row>
    <row r="9" spans="1:46" x14ac:dyDescent="0.25">
      <c r="A9" s="1">
        <v>12026</v>
      </c>
      <c r="B9" s="1" t="str">
        <v>VG05</v>
      </c>
      <c r="C9" s="1" t="str">
        <v>C3</v>
      </c>
      <c r="D9" s="1" t="str">
        <v>Cát</v>
      </c>
      <c r="E9" s="1">
        <v>46036</v>
      </c>
      <c r="F9" s="1" t="str">
        <v>Vĩnh Xương</v>
      </c>
      <c r="G9" s="1">
        <v>46046</v>
      </c>
      <c r="H9" s="1" t="str">
        <v>Đà Nẵng</v>
      </c>
      <c r="I9" s="1">
        <v>3975.02</v>
      </c>
      <c r="J9" s="5">
        <v>120000</v>
      </c>
      <c r="K9" s="5">
        <v>477002400</v>
      </c>
      <c r="L9" s="1">
        <v>11</v>
      </c>
      <c r="M9" s="1" t="str">
        <v>28/1</v>
      </c>
      <c r="N9" s="5">
        <v>4824.2776136975408</v>
      </c>
      <c r="O9" s="5">
        <v>115578.03482749772</v>
      </c>
      <c r="P9" s="5">
        <v>459424999.99999994</v>
      </c>
      <c r="Q9" s="5">
        <v>36753999.999999993</v>
      </c>
      <c r="R9" s="5">
        <v>496178999.99999994</v>
      </c>
      <c r="S9" s="5">
        <v>19176599.99999994</v>
      </c>
      <c r="T9" s="5">
        <v>4971711.1111110961</v>
      </c>
      <c r="U9" s="5">
        <v>14204888.888888843</v>
      </c>
      <c r="V9" s="1" t="str">
        <v>Hoàng Quyên</v>
      </c>
      <c r="W9" s="5">
        <v>0</v>
      </c>
      <c r="X9" s="5">
        <v>496178999.99999994</v>
      </c>
      <c r="Y9" s="5">
        <v>0</v>
      </c>
      <c r="Z9" s="5">
        <v>0</v>
      </c>
      <c r="AA9" s="5">
        <v>0</v>
      </c>
      <c r="AB9" s="5">
        <v>0</v>
      </c>
      <c r="AC9" s="5">
        <v>9531480</v>
      </c>
      <c r="AD9" s="5">
        <v>0</v>
      </c>
      <c r="AE9" s="5">
        <v>2500000</v>
      </c>
      <c r="AF9" s="5">
        <v>14248000</v>
      </c>
      <c r="AG9" s="5">
        <v>0</v>
      </c>
      <c r="AH9" s="5">
        <v>0</v>
      </c>
      <c r="AI9" s="5">
        <v>0</v>
      </c>
      <c r="AJ9" s="5">
        <v>11137000</v>
      </c>
      <c r="AK9" s="5">
        <v>0</v>
      </c>
      <c r="AL9" s="5">
        <v>0</v>
      </c>
      <c r="AM9" s="5">
        <v>0</v>
      </c>
      <c r="AN9" s="5">
        <v>38160192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75576672</v>
      </c>
    </row>
    <row r="10" spans="1:46" x14ac:dyDescent="0.25">
      <c r="A10" s="1">
        <v>12026</v>
      </c>
      <c r="B10" s="1" t="str">
        <v>VG05</v>
      </c>
      <c r="C10" s="1" t="str">
        <v>C4</v>
      </c>
      <c r="D10" s="1" t="str">
        <v>Xỉ</v>
      </c>
      <c r="E10" s="1">
        <v>46047</v>
      </c>
      <c r="F10" s="1" t="str">
        <v>Sơn Dương</v>
      </c>
      <c r="G10" s="1">
        <v>46054</v>
      </c>
      <c r="H10" s="1" t="str">
        <v>Cần Thơ</v>
      </c>
      <c r="I10" s="1">
        <v>4008</v>
      </c>
      <c r="J10" s="5">
        <v>223000</v>
      </c>
      <c r="K10" s="5">
        <v>893784000</v>
      </c>
      <c r="L10" s="1">
        <v>14</v>
      </c>
      <c r="M10" s="1">
        <v>0</v>
      </c>
      <c r="N10" s="5">
        <v>8000</v>
      </c>
      <c r="O10" s="5">
        <v>213888.88888888888</v>
      </c>
      <c r="P10" s="5">
        <v>857266666.66666663</v>
      </c>
      <c r="Q10" s="5">
        <v>68581333.333333328</v>
      </c>
      <c r="R10" s="5">
        <v>925848000</v>
      </c>
      <c r="S10" s="5">
        <v>32064000</v>
      </c>
      <c r="T10" s="5">
        <v>8312888.888888889</v>
      </c>
      <c r="U10" s="5">
        <v>23751111.111111112</v>
      </c>
      <c r="V10" s="1" t="str">
        <v>Ngọc Anh</v>
      </c>
      <c r="W10" s="5">
        <v>0</v>
      </c>
      <c r="X10" s="5">
        <v>925848000</v>
      </c>
      <c r="Y10" s="5">
        <v>0</v>
      </c>
      <c r="Z10" s="5">
        <v>0</v>
      </c>
      <c r="AA10" s="5">
        <v>0</v>
      </c>
      <c r="AB10" s="5">
        <v>0</v>
      </c>
      <c r="AC10" s="5">
        <v>41658617</v>
      </c>
      <c r="AD10" s="5">
        <v>9820610</v>
      </c>
      <c r="AE10" s="5">
        <v>2800000</v>
      </c>
      <c r="AF10" s="5">
        <v>3100000</v>
      </c>
      <c r="AG10" s="5">
        <v>0</v>
      </c>
      <c r="AH10" s="5">
        <v>0</v>
      </c>
      <c r="AI10" s="5">
        <v>0</v>
      </c>
      <c r="AJ10" s="5">
        <v>7425000</v>
      </c>
      <c r="AK10" s="5">
        <v>0</v>
      </c>
      <c r="AL10" s="5" t="str">
        <v/>
      </c>
      <c r="AM10" s="5">
        <v>0</v>
      </c>
      <c r="AN10" s="5">
        <v>71502720</v>
      </c>
      <c r="AO10" s="1">
        <v>0</v>
      </c>
      <c r="AP10" s="1">
        <v>0</v>
      </c>
      <c r="AQ10" s="1">
        <v>0</v>
      </c>
      <c r="AR10" s="1">
        <v>0</v>
      </c>
      <c r="AS10" s="1" t="str">
        <v/>
      </c>
      <c r="AT10" s="1">
        <v>136306947</v>
      </c>
    </row>
    <row r="11" spans="1:46" x14ac:dyDescent="0.25">
      <c r="A11" s="1">
        <v>12026</v>
      </c>
      <c r="B11" s="1" t="str">
        <v>VG09</v>
      </c>
      <c r="C11" s="1" t="str">
        <v>C1</v>
      </c>
      <c r="D11" s="1" t="str">
        <v>Cát</v>
      </c>
      <c r="E11" s="1">
        <v>46021</v>
      </c>
      <c r="F11" s="1" t="str">
        <v>Vĩnh Xương</v>
      </c>
      <c r="G11" s="1">
        <v>46037</v>
      </c>
      <c r="H11" s="1" t="str">
        <v>Đà Nẵng</v>
      </c>
      <c r="I11" s="1">
        <v>4585.4799999999996</v>
      </c>
      <c r="J11" s="5">
        <v>125000</v>
      </c>
      <c r="K11" s="5">
        <v>573185000</v>
      </c>
      <c r="L11" s="1">
        <v>6</v>
      </c>
      <c r="M11" s="1" t="str">
        <v>20/1</v>
      </c>
      <c r="N11" s="5">
        <v>-2705.9108315814269</v>
      </c>
      <c r="O11" s="5">
        <v>113235.26774853571</v>
      </c>
      <c r="P11" s="5">
        <v>519238055.55555546</v>
      </c>
      <c r="Q11" s="5">
        <v>41539044.44444444</v>
      </c>
      <c r="R11" s="5">
        <v>560777099.99999988</v>
      </c>
      <c r="S11" s="5">
        <v>-12407900.000000119</v>
      </c>
      <c r="T11" s="5">
        <v>-3216862.9629629944</v>
      </c>
      <c r="U11" s="5">
        <v>-9191037.0370371249</v>
      </c>
      <c r="V11" s="1" t="str">
        <v>Hoàng Quyên</v>
      </c>
      <c r="W11" s="5">
        <v>0</v>
      </c>
      <c r="X11" s="5">
        <v>560777099.99999988</v>
      </c>
      <c r="Y11" s="5">
        <v>0</v>
      </c>
      <c r="Z11" s="5">
        <v>0</v>
      </c>
      <c r="AA11" s="5">
        <v>0</v>
      </c>
      <c r="AB11" s="5">
        <v>0</v>
      </c>
      <c r="AC11" s="5">
        <v>57146836</v>
      </c>
      <c r="AD11" s="5">
        <v>0</v>
      </c>
      <c r="AE11" s="5">
        <v>4180000</v>
      </c>
      <c r="AF11" s="5">
        <v>18961000</v>
      </c>
      <c r="AG11" s="5">
        <v>9979200</v>
      </c>
      <c r="AH11" s="5">
        <v>0</v>
      </c>
      <c r="AI11" s="5">
        <v>7779048</v>
      </c>
      <c r="AJ11" s="5">
        <v>11132000</v>
      </c>
      <c r="AK11" s="5">
        <v>736178300</v>
      </c>
      <c r="AL11" s="5">
        <v>0</v>
      </c>
      <c r="AM11" s="5">
        <v>254782699.66666666</v>
      </c>
      <c r="AN11" s="5">
        <v>45854800</v>
      </c>
      <c r="AO11" s="1">
        <v>12061667</v>
      </c>
      <c r="AP11" s="1">
        <v>53580000</v>
      </c>
      <c r="AQ11" s="1">
        <v>0</v>
      </c>
      <c r="AR11" s="1">
        <v>1316000</v>
      </c>
      <c r="AS11" s="1">
        <v>0</v>
      </c>
      <c r="AT11" s="1">
        <v>1212951550.6666667</v>
      </c>
    </row>
    <row r="12" spans="1:46" x14ac:dyDescent="0.25">
      <c r="A12" s="1">
        <v>12026</v>
      </c>
      <c r="B12" s="1" t="str">
        <v>VG09</v>
      </c>
      <c r="C12" s="1" t="str">
        <v>C2</v>
      </c>
      <c r="D12" s="1" t="str">
        <v>Xỉ</v>
      </c>
      <c r="E12" s="1">
        <v>46038</v>
      </c>
      <c r="F12" s="1" t="str">
        <v>Sơn Dương</v>
      </c>
      <c r="G12" s="1">
        <v>46046</v>
      </c>
      <c r="H12" s="1" t="str">
        <v>HCM</v>
      </c>
      <c r="I12" s="1">
        <v>4695.28</v>
      </c>
      <c r="J12" s="5">
        <v>180000</v>
      </c>
      <c r="K12" s="5">
        <v>845150400</v>
      </c>
      <c r="L12" s="1">
        <v>10</v>
      </c>
      <c r="M12" s="1" t="str">
        <v>26/1</v>
      </c>
      <c r="N12" s="5">
        <v>10000</v>
      </c>
      <c r="O12" s="5">
        <v>175925.92592592593</v>
      </c>
      <c r="P12" s="5">
        <v>826021481.48148143</v>
      </c>
      <c r="Q12" s="5">
        <v>66081718.518518515</v>
      </c>
      <c r="R12" s="5">
        <v>892103200</v>
      </c>
      <c r="S12" s="5">
        <v>46952800</v>
      </c>
      <c r="T12" s="5">
        <v>12172948.148148149</v>
      </c>
      <c r="U12" s="5">
        <v>34779851.851851851</v>
      </c>
      <c r="V12" s="1" t="str">
        <v>Ngọc Anh</v>
      </c>
      <c r="W12" s="5">
        <v>0</v>
      </c>
      <c r="X12" s="5">
        <v>892103200</v>
      </c>
      <c r="Y12" s="5">
        <v>0</v>
      </c>
      <c r="Z12" s="5">
        <v>0</v>
      </c>
      <c r="AA12" s="5">
        <v>0</v>
      </c>
      <c r="AB12" s="5">
        <v>0</v>
      </c>
      <c r="AC12" s="5">
        <v>44012220</v>
      </c>
      <c r="AD12" s="5">
        <v>32791040</v>
      </c>
      <c r="AE12" s="5">
        <v>5800000</v>
      </c>
      <c r="AF12" s="5">
        <v>7300000</v>
      </c>
      <c r="AG12" s="5">
        <v>0</v>
      </c>
      <c r="AH12" s="5">
        <v>0</v>
      </c>
      <c r="AI12" s="5">
        <v>0</v>
      </c>
      <c r="AJ12" s="5">
        <v>5775000</v>
      </c>
      <c r="AK12" s="5">
        <v>0</v>
      </c>
      <c r="AL12" s="5">
        <v>0</v>
      </c>
      <c r="AM12" s="5">
        <v>22816000</v>
      </c>
      <c r="AN12" s="5">
        <v>67612032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186106292</v>
      </c>
    </row>
    <row r="13" spans="1:46" x14ac:dyDescent="0.25">
      <c r="A13" s="1">
        <v>12026</v>
      </c>
      <c r="B13" s="1" t="str">
        <v>VG15</v>
      </c>
      <c r="C13" s="1" t="str">
        <v>C1</v>
      </c>
      <c r="D13" s="1" t="str">
        <v xml:space="preserve">Xỉ </v>
      </c>
      <c r="E13" s="1">
        <v>46022</v>
      </c>
      <c r="F13" s="1" t="str">
        <v>Sơn Dương</v>
      </c>
      <c r="G13" s="1">
        <v>46028</v>
      </c>
      <c r="H13" s="1" t="str">
        <v>Hậu Giang</v>
      </c>
      <c r="I13" s="1">
        <v>4814</v>
      </c>
      <c r="J13" s="5">
        <v>183000</v>
      </c>
      <c r="K13" s="5">
        <v>880962000</v>
      </c>
      <c r="L13" s="1">
        <v>3</v>
      </c>
      <c r="M13" s="1" t="str">
        <v>7/1</v>
      </c>
      <c r="N13" s="5">
        <v>10000</v>
      </c>
      <c r="O13" s="5">
        <v>178703.70370370368</v>
      </c>
      <c r="P13" s="5">
        <v>860279629.62962949</v>
      </c>
      <c r="Q13" s="5">
        <v>68822370.370370358</v>
      </c>
      <c r="R13" s="5">
        <v>929101999.99999988</v>
      </c>
      <c r="S13" s="5">
        <v>48139999.999999881</v>
      </c>
      <c r="T13" s="5">
        <v>12480740.740740711</v>
      </c>
      <c r="U13" s="5">
        <v>35659259.259259172</v>
      </c>
      <c r="V13" s="1" t="str">
        <v>Ngọc Anh</v>
      </c>
      <c r="W13" s="5">
        <v>0</v>
      </c>
      <c r="X13" s="5">
        <v>929101999.99999988</v>
      </c>
      <c r="Y13" s="5">
        <v>0</v>
      </c>
      <c r="Z13" s="5">
        <v>0</v>
      </c>
      <c r="AA13" s="5">
        <v>0</v>
      </c>
      <c r="AB13" s="5">
        <v>0</v>
      </c>
      <c r="AC13" s="5">
        <v>44773738</v>
      </c>
      <c r="AD13" s="5">
        <v>35337690</v>
      </c>
      <c r="AE13" s="5">
        <v>0</v>
      </c>
      <c r="AF13" s="5">
        <v>4340000</v>
      </c>
      <c r="AG13" s="5">
        <v>0</v>
      </c>
      <c r="AH13" s="5">
        <v>0</v>
      </c>
      <c r="AI13" s="5">
        <v>0</v>
      </c>
      <c r="AJ13" s="5">
        <v>7425000</v>
      </c>
      <c r="AK13" s="5">
        <v>377484800</v>
      </c>
      <c r="AL13" s="5" t="str">
        <v/>
      </c>
      <c r="AM13" s="5">
        <v>255338967</v>
      </c>
      <c r="AN13" s="5">
        <v>70476960</v>
      </c>
      <c r="AO13" s="1">
        <v>11511042</v>
      </c>
      <c r="AP13" s="1">
        <v>44994000</v>
      </c>
      <c r="AQ13" s="1">
        <v>79100000</v>
      </c>
      <c r="AR13" s="1">
        <v>4855000</v>
      </c>
      <c r="AS13" s="1" t="str">
        <v/>
      </c>
      <c r="AT13" s="1">
        <v>935637197</v>
      </c>
    </row>
    <row r="14" spans="1:46" x14ac:dyDescent="0.25">
      <c r="A14" s="1">
        <v>12026</v>
      </c>
      <c r="B14" s="1" t="str">
        <v>VG15</v>
      </c>
      <c r="C14" s="1" t="str">
        <v>C2</v>
      </c>
      <c r="D14" s="1" t="str">
        <v>Cát</v>
      </c>
      <c r="E14" s="1">
        <v>46029</v>
      </c>
      <c r="F14" s="1" t="str">
        <v>Vĩnh Xương</v>
      </c>
      <c r="G14" s="1">
        <v>46041</v>
      </c>
      <c r="H14" s="1" t="str">
        <v>Đà Nẵng</v>
      </c>
      <c r="I14" s="1">
        <v>4619.2299999999996</v>
      </c>
      <c r="J14" s="5">
        <v>125000</v>
      </c>
      <c r="K14" s="5">
        <v>577403750</v>
      </c>
      <c r="L14" s="1">
        <v>8</v>
      </c>
      <c r="M14" s="1" t="str">
        <v>21/1</v>
      </c>
      <c r="N14" s="5">
        <v>8585.2945187834339</v>
      </c>
      <c r="O14" s="5">
        <v>123690.08751739205</v>
      </c>
      <c r="P14" s="5">
        <v>571352962.96296287</v>
      </c>
      <c r="Q14" s="5">
        <v>45708237.03703703</v>
      </c>
      <c r="R14" s="5">
        <v>617061199.99999988</v>
      </c>
      <c r="S14" s="5">
        <v>39657449.999999881</v>
      </c>
      <c r="T14" s="5">
        <v>10281561.11111108</v>
      </c>
      <c r="U14" s="5">
        <v>29375888.888888799</v>
      </c>
      <c r="V14" s="1" t="str">
        <v>Hoàng Quyên</v>
      </c>
      <c r="W14" s="5">
        <v>0</v>
      </c>
      <c r="X14" s="5">
        <v>617061199.99999988</v>
      </c>
      <c r="Y14" s="5">
        <v>0</v>
      </c>
      <c r="Z14" s="5">
        <v>0</v>
      </c>
      <c r="AA14" s="5">
        <v>0</v>
      </c>
      <c r="AB14" s="5">
        <v>0</v>
      </c>
      <c r="AC14" s="5">
        <v>55058278</v>
      </c>
      <c r="AD14" s="5">
        <v>0</v>
      </c>
      <c r="AE14" s="5">
        <v>4470000</v>
      </c>
      <c r="AF14" s="5">
        <v>19639000</v>
      </c>
      <c r="AG14" s="5">
        <v>0</v>
      </c>
      <c r="AH14" s="5">
        <v>0</v>
      </c>
      <c r="AI14" s="5">
        <v>0</v>
      </c>
      <c r="AJ14" s="5">
        <v>11132000</v>
      </c>
      <c r="AK14" s="5">
        <v>0</v>
      </c>
      <c r="AL14" s="5" t="str">
        <v/>
      </c>
      <c r="AM14" s="5">
        <v>20000000</v>
      </c>
      <c r="AN14" s="5">
        <v>46192300</v>
      </c>
      <c r="AO14" s="1">
        <v>0</v>
      </c>
      <c r="AP14" s="1">
        <v>0</v>
      </c>
      <c r="AQ14" s="1">
        <v>0</v>
      </c>
      <c r="AR14" s="1">
        <v>0</v>
      </c>
      <c r="AS14" s="1" t="str">
        <v/>
      </c>
      <c r="AT14" s="1">
        <v>156491578</v>
      </c>
    </row>
    <row r="15" spans="1:46" x14ac:dyDescent="0.25">
      <c r="A15" s="1">
        <v>12026</v>
      </c>
      <c r="B15" s="1" t="str">
        <v>VG15</v>
      </c>
      <c r="C15" s="1" t="str">
        <v>C3</v>
      </c>
      <c r="D15" s="1" t="str">
        <v>Xỉ</v>
      </c>
      <c r="E15" s="1">
        <v>46042</v>
      </c>
      <c r="F15" s="1" t="str">
        <v>Sơn Dương</v>
      </c>
      <c r="G15" s="1">
        <v>46056</v>
      </c>
      <c r="H15" s="1" t="str">
        <v>Hậu Giang</v>
      </c>
      <c r="I15" s="1">
        <v>4810</v>
      </c>
      <c r="J15" s="5">
        <v>193000</v>
      </c>
      <c r="K15" s="5">
        <v>928330000</v>
      </c>
      <c r="L15" s="1">
        <v>12</v>
      </c>
      <c r="M15" s="1">
        <v>0</v>
      </c>
      <c r="N15" s="5">
        <v>10000</v>
      </c>
      <c r="O15" s="5">
        <v>187962.96296296295</v>
      </c>
      <c r="P15" s="5">
        <v>904101851.85185182</v>
      </c>
      <c r="Q15" s="5">
        <v>72328148.148148149</v>
      </c>
      <c r="R15" s="5">
        <v>976430000</v>
      </c>
      <c r="S15" s="5">
        <v>48100000</v>
      </c>
      <c r="T15" s="5">
        <v>12470370.370370371</v>
      </c>
      <c r="U15" s="5">
        <v>35629629.629629627</v>
      </c>
      <c r="V15" s="1" t="str">
        <v>Ngọc Anh</v>
      </c>
      <c r="W15" s="5">
        <v>0</v>
      </c>
      <c r="X15" s="5">
        <v>976430000</v>
      </c>
      <c r="Y15" s="5">
        <v>0</v>
      </c>
      <c r="Z15" s="5">
        <v>0</v>
      </c>
      <c r="AA15" s="5">
        <v>0</v>
      </c>
      <c r="AB15" s="5">
        <v>0</v>
      </c>
      <c r="AC15" s="5">
        <v>44454445</v>
      </c>
      <c r="AD15" s="5">
        <v>38432391</v>
      </c>
      <c r="AE15" s="5">
        <v>2800000</v>
      </c>
      <c r="AF15" s="5">
        <v>2490000</v>
      </c>
      <c r="AG15" s="5">
        <v>0</v>
      </c>
      <c r="AH15" s="5">
        <v>0</v>
      </c>
      <c r="AI15" s="5">
        <v>0</v>
      </c>
      <c r="AJ15" s="5">
        <v>7425000</v>
      </c>
      <c r="AK15" s="5">
        <v>0</v>
      </c>
      <c r="AL15" s="5">
        <v>0</v>
      </c>
      <c r="AM15" s="5">
        <v>45800000</v>
      </c>
      <c r="AN15" s="5">
        <v>74266400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215668236</v>
      </c>
    </row>
    <row r="16" spans="1:46" x14ac:dyDescent="0.25">
      <c r="A16" s="1">
        <v>12026</v>
      </c>
      <c r="B16" s="1" t="str">
        <v>VG36</v>
      </c>
      <c r="C16" s="1" t="str">
        <v>C1</v>
      </c>
      <c r="D16" s="1" t="str">
        <v>Xỉ</v>
      </c>
      <c r="E16" s="1">
        <v>46018</v>
      </c>
      <c r="F16" s="1" t="str">
        <v>Sơn Dương</v>
      </c>
      <c r="G16" s="1">
        <v>46025</v>
      </c>
      <c r="H16" s="1" t="str">
        <v>HCM</v>
      </c>
      <c r="I16" s="1">
        <v>4769</v>
      </c>
      <c r="J16" s="5">
        <v>173000</v>
      </c>
      <c r="K16" s="5">
        <v>825037000</v>
      </c>
      <c r="L16" s="1">
        <v>1</v>
      </c>
      <c r="M16" s="1" t="str">
        <v>5/1</v>
      </c>
      <c r="N16" s="5">
        <v>10000</v>
      </c>
      <c r="O16" s="5">
        <v>169444.44444444444</v>
      </c>
      <c r="P16" s="5">
        <v>808080555.55555558</v>
      </c>
      <c r="Q16" s="5">
        <v>64646444.444444448</v>
      </c>
      <c r="R16" s="5">
        <v>872727000</v>
      </c>
      <c r="S16" s="5">
        <v>47690000</v>
      </c>
      <c r="T16" s="5">
        <v>12364074.074074075</v>
      </c>
      <c r="U16" s="5">
        <v>35325925.925925925</v>
      </c>
      <c r="V16" s="1" t="str">
        <v>Ngọc Anh</v>
      </c>
      <c r="W16" s="5">
        <v>0</v>
      </c>
      <c r="X16" s="5">
        <v>872727000</v>
      </c>
      <c r="Y16" s="5">
        <v>0</v>
      </c>
      <c r="Z16" s="5">
        <v>0</v>
      </c>
      <c r="AA16" s="5">
        <v>0</v>
      </c>
      <c r="AB16" s="5">
        <v>0</v>
      </c>
      <c r="AC16" s="5">
        <v>44661146</v>
      </c>
      <c r="AD16" s="5">
        <v>37013258</v>
      </c>
      <c r="AE16" s="5">
        <v>2800000</v>
      </c>
      <c r="AF16" s="5">
        <v>10360000</v>
      </c>
      <c r="AG16" s="5">
        <v>0</v>
      </c>
      <c r="AH16" s="5">
        <v>0</v>
      </c>
      <c r="AI16" s="5">
        <v>0</v>
      </c>
      <c r="AJ16" s="5">
        <v>5500000</v>
      </c>
      <c r="AK16" s="5">
        <v>505731600</v>
      </c>
      <c r="AL16" s="5">
        <v>0</v>
      </c>
      <c r="AM16" s="5">
        <v>229091500</v>
      </c>
      <c r="AN16" s="5">
        <v>66002960</v>
      </c>
      <c r="AO16" s="1">
        <v>13653750</v>
      </c>
      <c r="AP16" s="1">
        <v>37220000</v>
      </c>
      <c r="AQ16" s="1">
        <v>32940000</v>
      </c>
      <c r="AR16" s="1">
        <v>0</v>
      </c>
      <c r="AS16" s="1">
        <v>0</v>
      </c>
      <c r="AT16" s="1">
        <v>984974214</v>
      </c>
    </row>
    <row r="17" spans="1:46" x14ac:dyDescent="0.25">
      <c r="A17" s="1">
        <v>12026</v>
      </c>
      <c r="B17" s="1" t="str">
        <v>VG36</v>
      </c>
      <c r="C17" s="1" t="str">
        <v>C2</v>
      </c>
      <c r="D17" s="1" t="str">
        <v>Cát</v>
      </c>
      <c r="E17" s="1">
        <v>46026</v>
      </c>
      <c r="F17" s="1" t="str">
        <v>Vĩnh Xương</v>
      </c>
      <c r="G17" s="1">
        <v>46035</v>
      </c>
      <c r="H17" s="1" t="str">
        <v>Đà Nẵng</v>
      </c>
      <c r="I17" s="1">
        <v>4586.8900000000003</v>
      </c>
      <c r="J17" s="5">
        <v>130000</v>
      </c>
      <c r="K17" s="5">
        <v>596295700</v>
      </c>
      <c r="L17" s="1">
        <v>5</v>
      </c>
      <c r="M17" s="1" t="str">
        <v>16/1</v>
      </c>
      <c r="N17" s="5">
        <v>2934.5155432111951</v>
      </c>
      <c r="O17" s="5">
        <v>123087.51439186221</v>
      </c>
      <c r="P17" s="5">
        <v>564588888.88888884</v>
      </c>
      <c r="Q17" s="5">
        <v>45167111.111111104</v>
      </c>
      <c r="R17" s="5">
        <v>609756000</v>
      </c>
      <c r="S17" s="5">
        <v>13460300</v>
      </c>
      <c r="T17" s="5">
        <v>3489707.4074074076</v>
      </c>
      <c r="U17" s="5">
        <v>9970592.5925925933</v>
      </c>
      <c r="V17" s="1" t="str">
        <v>Hoàng Quyên</v>
      </c>
      <c r="W17" s="5">
        <v>609756000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68550556</v>
      </c>
      <c r="AD17" s="5">
        <v>0</v>
      </c>
      <c r="AE17" s="5">
        <v>6500000</v>
      </c>
      <c r="AF17" s="5">
        <v>20410000</v>
      </c>
      <c r="AG17" s="5">
        <v>0</v>
      </c>
      <c r="AH17" s="5">
        <v>0</v>
      </c>
      <c r="AI17" s="5">
        <v>0</v>
      </c>
      <c r="AJ17" s="5">
        <v>11000000</v>
      </c>
      <c r="AK17" s="5">
        <v>0</v>
      </c>
      <c r="AL17" s="5">
        <v>0</v>
      </c>
      <c r="AM17" s="5">
        <v>21664000</v>
      </c>
      <c r="AN17" s="5">
        <v>47703656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175828212</v>
      </c>
    </row>
    <row r="18" spans="1:46" x14ac:dyDescent="0.25">
      <c r="A18" s="1">
        <v>12026</v>
      </c>
      <c r="B18" s="1" t="str">
        <v>VG36</v>
      </c>
      <c r="C18" s="1" t="str">
        <v>C3</v>
      </c>
      <c r="D18" s="1" t="str">
        <v>Clinker</v>
      </c>
      <c r="E18" s="1">
        <v>46036</v>
      </c>
      <c r="F18" s="1" t="str">
        <v>Hòn La</v>
      </c>
      <c r="G18" s="1">
        <v>46045</v>
      </c>
      <c r="H18" s="1" t="str">
        <v>Hậu Giang</v>
      </c>
      <c r="I18" s="1">
        <v>4765.3</v>
      </c>
      <c r="J18" s="1">
        <v>183000</v>
      </c>
      <c r="K18" s="1">
        <v>872049900</v>
      </c>
      <c r="L18" s="1">
        <v>9</v>
      </c>
      <c r="M18" s="1" t="str">
        <v>26/1</v>
      </c>
      <c r="N18" s="1">
        <v>0</v>
      </c>
      <c r="O18" s="1">
        <v>169444.44444444444</v>
      </c>
      <c r="P18" s="1">
        <v>807453611.11111116</v>
      </c>
      <c r="Q18" s="1">
        <v>64596288.888888896</v>
      </c>
      <c r="R18" s="1">
        <v>872049900</v>
      </c>
      <c r="S18" s="1">
        <v>0</v>
      </c>
      <c r="T18" s="1">
        <v>0</v>
      </c>
      <c r="U18" s="1">
        <v>0</v>
      </c>
      <c r="V18" s="1" t="str">
        <v>Hoàng Quyên</v>
      </c>
      <c r="W18" s="5">
        <v>872049900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34226090</v>
      </c>
      <c r="AE18" s="5">
        <v>25920000</v>
      </c>
      <c r="AF18" s="5">
        <v>3600000</v>
      </c>
      <c r="AG18" s="5">
        <v>0</v>
      </c>
      <c r="AH18" s="5">
        <v>0</v>
      </c>
      <c r="AI18" s="5">
        <v>0</v>
      </c>
      <c r="AJ18" s="5">
        <v>2770000</v>
      </c>
      <c r="AK18" s="5">
        <v>0</v>
      </c>
      <c r="AL18" s="5">
        <v>0</v>
      </c>
      <c r="AM18" s="5">
        <v>0</v>
      </c>
      <c r="AN18" s="1">
        <v>69763992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136280082</v>
      </c>
    </row>
    <row r="19" spans="1:46" x14ac:dyDescent="0.25">
      <c r="A19" s="1">
        <v>12026</v>
      </c>
      <c r="B19" s="1" t="str">
        <v>VG36</v>
      </c>
      <c r="C19" s="1" t="str">
        <v>C4</v>
      </c>
      <c r="D19" s="1" t="str">
        <v>Gỗ</v>
      </c>
      <c r="E19" s="1">
        <v>46046</v>
      </c>
      <c r="F19" s="1" t="str">
        <v>Cần Thơ</v>
      </c>
      <c r="G19" s="1">
        <v>46059</v>
      </c>
      <c r="H19" s="1" t="str">
        <v>Cửa Lò</v>
      </c>
      <c r="I19" s="1">
        <v>1</v>
      </c>
      <c r="J19" s="1">
        <v>320000000</v>
      </c>
      <c r="K19" s="1">
        <v>320000000</v>
      </c>
      <c r="L19" s="1">
        <v>15</v>
      </c>
      <c r="M19" s="1">
        <v>0</v>
      </c>
      <c r="N19" s="1">
        <v>0</v>
      </c>
      <c r="O19" s="1">
        <v>296296296.2962963</v>
      </c>
      <c r="P19" s="1">
        <v>296296296.2962963</v>
      </c>
      <c r="Q19" s="1">
        <v>23703703.703703705</v>
      </c>
      <c r="R19" s="1">
        <v>320000000</v>
      </c>
      <c r="S19" s="1">
        <v>0</v>
      </c>
      <c r="T19" s="1">
        <v>0</v>
      </c>
      <c r="U19" s="1">
        <v>0</v>
      </c>
      <c r="V19" s="1" t="str">
        <v>Ngọc Anh</v>
      </c>
      <c r="W19" s="5">
        <v>0</v>
      </c>
      <c r="X19" s="5">
        <v>320000000</v>
      </c>
      <c r="Y19" s="5">
        <v>0</v>
      </c>
      <c r="Z19" s="5">
        <v>0</v>
      </c>
      <c r="AA19" s="5">
        <v>0</v>
      </c>
      <c r="AB19" s="5">
        <v>0</v>
      </c>
      <c r="AC19" s="5">
        <v>42729942</v>
      </c>
      <c r="AD19" s="5">
        <v>0</v>
      </c>
      <c r="AE19" s="5">
        <v>5700000</v>
      </c>
      <c r="AF19" s="5">
        <v>24300000</v>
      </c>
      <c r="AG19" s="5">
        <v>0</v>
      </c>
      <c r="AH19" s="5">
        <v>0</v>
      </c>
      <c r="AI19" s="5">
        <v>0</v>
      </c>
      <c r="AJ19" s="5">
        <v>11000000</v>
      </c>
      <c r="AK19" s="5">
        <v>562444690</v>
      </c>
      <c r="AL19" s="5">
        <v>0</v>
      </c>
      <c r="AM19" s="5">
        <v>229091500</v>
      </c>
      <c r="AN19" s="1">
        <v>25600000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900866132</v>
      </c>
    </row>
    <row r="20" spans="1:46" x14ac:dyDescent="0.25">
      <c r="A20" s="1">
        <v>12026</v>
      </c>
      <c r="B20" s="1" t="str">
        <v>VG18</v>
      </c>
      <c r="C20" s="1" t="str">
        <v>C1</v>
      </c>
      <c r="D20" s="1" t="str">
        <v>Tro ẩm</v>
      </c>
      <c r="E20" s="1">
        <v>46029</v>
      </c>
      <c r="F20" s="1" t="str">
        <v>Vĩnh Tân</v>
      </c>
      <c r="G20" s="1">
        <v>46041</v>
      </c>
      <c r="H20" s="1" t="str">
        <v>Nghi Sơn</v>
      </c>
      <c r="I20" s="1">
        <v>7322.56</v>
      </c>
      <c r="J20" s="1">
        <v>95000</v>
      </c>
      <c r="K20" s="1">
        <v>695643200</v>
      </c>
      <c r="L20" s="1">
        <v>7</v>
      </c>
      <c r="M20" s="1" t="str">
        <v>20/1</v>
      </c>
      <c r="N20" s="1">
        <v>0</v>
      </c>
      <c r="O20" s="1">
        <v>87962.962962962964</v>
      </c>
      <c r="P20" s="1">
        <v>644114074.07407415</v>
      </c>
      <c r="Q20" s="1">
        <v>51529125.925925933</v>
      </c>
      <c r="R20" s="1">
        <v>695643200.00000012</v>
      </c>
      <c r="S20" s="1">
        <v>0</v>
      </c>
      <c r="T20" s="1">
        <v>0</v>
      </c>
      <c r="U20" s="1">
        <v>0</v>
      </c>
      <c r="V20" s="1" t="str">
        <v>Ngọc Anh</v>
      </c>
      <c r="W20" s="5">
        <v>0</v>
      </c>
      <c r="X20" s="5">
        <v>695643200.00000012</v>
      </c>
      <c r="Y20" s="5">
        <v>0</v>
      </c>
      <c r="Z20" s="5">
        <v>0</v>
      </c>
      <c r="AA20" s="5">
        <v>0</v>
      </c>
      <c r="AB20" s="5">
        <v>0</v>
      </c>
      <c r="AC20" s="5">
        <v>51613525</v>
      </c>
      <c r="AD20" s="5">
        <v>0</v>
      </c>
      <c r="AE20" s="5">
        <v>5000000</v>
      </c>
      <c r="AF20" s="5">
        <v>16880000</v>
      </c>
      <c r="AG20" s="5">
        <v>0</v>
      </c>
      <c r="AH20" s="5">
        <v>0</v>
      </c>
      <c r="AI20" s="5">
        <v>0</v>
      </c>
      <c r="AJ20" s="5">
        <v>11340000</v>
      </c>
      <c r="AK20" s="5">
        <v>542857140</v>
      </c>
      <c r="AL20" s="5">
        <v>0</v>
      </c>
      <c r="AM20" s="5">
        <v>257918500</v>
      </c>
      <c r="AN20" s="1">
        <v>55651456</v>
      </c>
      <c r="AO20" s="1">
        <v>0</v>
      </c>
      <c r="AP20" s="1">
        <v>50860000</v>
      </c>
      <c r="AQ20" s="1">
        <v>40596896</v>
      </c>
      <c r="AR20" s="1">
        <v>3760000</v>
      </c>
      <c r="AS20" s="1">
        <v>0</v>
      </c>
      <c r="AT20" s="1">
        <v>1036477517</v>
      </c>
    </row>
    <row r="21" spans="1:46" x14ac:dyDescent="0.25">
      <c r="A21" s="1">
        <v>12026</v>
      </c>
      <c r="B21" s="1" t="str">
        <v>VG18</v>
      </c>
      <c r="C21" s="1" t="str">
        <v>C2</v>
      </c>
      <c r="D21" s="1" t="str">
        <v>Clinker</v>
      </c>
      <c r="E21" s="1">
        <v>46042</v>
      </c>
      <c r="F21" s="1" t="str">
        <v>Nghi Sơn</v>
      </c>
      <c r="G21" s="1">
        <v>46055</v>
      </c>
      <c r="H21" s="1" t="str">
        <v>Hiệp Phước</v>
      </c>
      <c r="I21" s="1">
        <v>7995.95</v>
      </c>
      <c r="J21" s="1">
        <v>183000</v>
      </c>
      <c r="K21" s="1">
        <v>1463258850</v>
      </c>
      <c r="L21" s="1">
        <v>13</v>
      </c>
      <c r="M21" s="1">
        <v>0</v>
      </c>
      <c r="N21" s="1">
        <v>10000</v>
      </c>
      <c r="O21" s="1">
        <v>178703.70370370368</v>
      </c>
      <c r="P21" s="1">
        <v>1428905879.6296294</v>
      </c>
      <c r="Q21" s="1">
        <v>114312470.37037036</v>
      </c>
      <c r="R21" s="1">
        <v>1543218349.9999998</v>
      </c>
      <c r="S21" s="1">
        <v>79959499.999999762</v>
      </c>
      <c r="T21" s="1">
        <v>20730240.740740679</v>
      </c>
      <c r="U21" s="1">
        <v>59229259.259259082</v>
      </c>
      <c r="V21" s="1" t="str">
        <v>Ngọc Anh</v>
      </c>
      <c r="W21" s="5">
        <v>0</v>
      </c>
      <c r="X21" s="5">
        <v>1543218349.9999998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64837024</v>
      </c>
      <c r="AE21" s="5">
        <v>7250000</v>
      </c>
      <c r="AF21" s="5">
        <v>4300000</v>
      </c>
      <c r="AG21" s="5">
        <v>6480000</v>
      </c>
      <c r="AH21" s="5">
        <v>16848000</v>
      </c>
      <c r="AI21" s="5">
        <v>22231411</v>
      </c>
      <c r="AJ21" s="5">
        <v>11340000</v>
      </c>
      <c r="AK21" s="5">
        <v>0</v>
      </c>
      <c r="AL21" s="5" t="str">
        <v/>
      </c>
      <c r="AM21" s="5">
        <v>24096000</v>
      </c>
      <c r="AN21" s="1">
        <v>117060708</v>
      </c>
      <c r="AO21" s="1">
        <v>0</v>
      </c>
      <c r="AP21" s="1">
        <v>0</v>
      </c>
      <c r="AQ21" s="1">
        <v>0</v>
      </c>
      <c r="AR21" s="1">
        <v>0</v>
      </c>
      <c r="AS21" s="1" t="str">
        <v/>
      </c>
      <c r="AT21" s="1">
        <v>274443143</v>
      </c>
    </row>
    <row r="22" spans="1:46" x14ac:dyDescent="0.25"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46" x14ac:dyDescent="0.25"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46" x14ac:dyDescent="0.25"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46" x14ac:dyDescent="0.25"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46" x14ac:dyDescent="0.25"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46" x14ac:dyDescent="0.25"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46" ht="15.75" thickBot="1" x14ac:dyDescent="0.3"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46" ht="15.75" thickTop="1" x14ac:dyDescent="0.25">
      <c r="B29" s="333" t="s">
        <v>231</v>
      </c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46" x14ac:dyDescent="0.25">
      <c r="B30" s="336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8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46" ht="15.75" thickBot="1" x14ac:dyDescent="0.3">
      <c r="B31" s="236"/>
      <c r="O31" s="237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46" ht="15.75" thickTop="1" x14ac:dyDescent="0.25">
      <c r="A32" s="216"/>
      <c r="B32" s="217" t="s">
        <v>70</v>
      </c>
      <c r="C32" s="218" t="s">
        <v>2</v>
      </c>
      <c r="D32" s="229"/>
      <c r="E32" s="218" t="s">
        <v>70</v>
      </c>
      <c r="F32" s="218" t="s">
        <v>0</v>
      </c>
      <c r="G32" s="229"/>
      <c r="H32" s="218" t="s">
        <v>70</v>
      </c>
      <c r="I32" s="218" t="s">
        <v>11</v>
      </c>
      <c r="J32" s="229"/>
      <c r="K32" s="218" t="s">
        <v>70</v>
      </c>
      <c r="L32" s="218" t="s">
        <v>65</v>
      </c>
      <c r="M32" s="232"/>
      <c r="N32" s="218" t="s">
        <v>70</v>
      </c>
      <c r="O32" s="219" t="s">
        <v>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25">
      <c r="A33" s="216"/>
      <c r="B33" s="220" t="s">
        <v>166</v>
      </c>
      <c r="C33" s="221">
        <f>+COUNTIF($B$7:$B$30,C$32)</f>
        <v>4</v>
      </c>
      <c r="D33" s="230"/>
      <c r="E33" s="221" t="s">
        <v>166</v>
      </c>
      <c r="F33" s="221">
        <f>+COUNTIF($B$7:$B$30,F$32)</f>
        <v>2</v>
      </c>
      <c r="G33" s="230"/>
      <c r="H33" s="221" t="s">
        <v>166</v>
      </c>
      <c r="I33" s="221">
        <f>+COUNTIF($B$7:$B$30,I$32)</f>
        <v>3</v>
      </c>
      <c r="J33" s="230"/>
      <c r="K33" s="221" t="s">
        <v>166</v>
      </c>
      <c r="L33" s="221">
        <f>+COUNTIF($B$7:$B$30,L$32)</f>
        <v>2</v>
      </c>
      <c r="M33" s="233"/>
      <c r="N33" s="221" t="s">
        <v>166</v>
      </c>
      <c r="O33" s="222">
        <f>+COUNTIF($B$7:$B$30,O$32)</f>
        <v>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5">
      <c r="A34" s="216"/>
      <c r="B34" s="220" t="s">
        <v>58</v>
      </c>
      <c r="C34" s="223">
        <f>+SUMIF($B$7:$B$30,C32,$K$7:$K$30)</f>
        <v>2499114650</v>
      </c>
      <c r="D34" s="230"/>
      <c r="E34" s="221" t="s">
        <v>58</v>
      </c>
      <c r="F34" s="223">
        <f>+SUMIF($B$7:$B$30,F32,$K$7:$K$30)</f>
        <v>1418335400</v>
      </c>
      <c r="G34" s="230"/>
      <c r="H34" s="221" t="s">
        <v>58</v>
      </c>
      <c r="I34" s="223">
        <f>+SUMIF($B$7:$B$30,I32,$K$7:$K$30)</f>
        <v>2386695750</v>
      </c>
      <c r="J34" s="230"/>
      <c r="K34" s="221" t="s">
        <v>58</v>
      </c>
      <c r="L34" s="223">
        <f>+SUMIF($B$7:$B$30,L32,$K$7:$K$30)</f>
        <v>2158902050</v>
      </c>
      <c r="M34" s="234"/>
      <c r="N34" s="221" t="s">
        <v>58</v>
      </c>
      <c r="O34" s="224">
        <f>+SUMIF($B$7:$B$30,O32,$K$7:$K$30)</f>
        <v>2613382600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25">
      <c r="A35" s="216"/>
      <c r="B35" s="220" t="s">
        <v>79</v>
      </c>
      <c r="C35" s="223">
        <f>+SUMIF($B$7:$B$30,C32,$AN$7:$AN$30)</f>
        <v>199929172</v>
      </c>
      <c r="D35" s="230"/>
      <c r="E35" s="221" t="s">
        <v>79</v>
      </c>
      <c r="F35" s="223">
        <f>+SUMIF($B$7:$B$30,F32,$AN$7:$AN$30)</f>
        <v>113466832</v>
      </c>
      <c r="G35" s="230"/>
      <c r="H35" s="221" t="s">
        <v>79</v>
      </c>
      <c r="I35" s="223">
        <f>+SUMIF($B$7:$B$30,I32,$AN$7:$AN$30)</f>
        <v>190935660</v>
      </c>
      <c r="J35" s="230"/>
      <c r="K35" s="221" t="s">
        <v>79</v>
      </c>
      <c r="L35" s="223">
        <f>+SUMIF($B$7:$B$30,L32,$AN$7:$AN$30)</f>
        <v>172712164</v>
      </c>
      <c r="M35" s="234"/>
      <c r="N35" s="221" t="s">
        <v>79</v>
      </c>
      <c r="O35" s="224">
        <f>+SUMIF($B$7:$B$30,O32,$AN$7:$AN$30)</f>
        <v>209070608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5.75" thickBot="1" x14ac:dyDescent="0.3">
      <c r="A36" s="216"/>
      <c r="B36" s="225" t="s">
        <v>78</v>
      </c>
      <c r="C36" s="226">
        <f>+C34-C35</f>
        <v>2299185478</v>
      </c>
      <c r="D36" s="231"/>
      <c r="E36" s="227" t="s">
        <v>78</v>
      </c>
      <c r="F36" s="226">
        <f>+F34-F35</f>
        <v>1304868568</v>
      </c>
      <c r="G36" s="231"/>
      <c r="H36" s="227" t="s">
        <v>78</v>
      </c>
      <c r="I36" s="226">
        <f>+I34-I35</f>
        <v>2195760090</v>
      </c>
      <c r="J36" s="231"/>
      <c r="K36" s="227" t="s">
        <v>78</v>
      </c>
      <c r="L36" s="226">
        <f>+L34-L35</f>
        <v>1986189886</v>
      </c>
      <c r="M36" s="235"/>
      <c r="N36" s="227" t="s">
        <v>78</v>
      </c>
      <c r="O36" s="228">
        <f>+O34-O35</f>
        <v>2404311992</v>
      </c>
    </row>
    <row r="37" spans="1:39" ht="15.75" thickTop="1" x14ac:dyDescent="0.25">
      <c r="B37" s="236"/>
      <c r="O37" s="237"/>
    </row>
    <row r="38" spans="1:39" s="238" customFormat="1" ht="20.100000000000001" customHeight="1" x14ac:dyDescent="0.25">
      <c r="B38" s="239"/>
      <c r="E38" s="329" t="s">
        <v>169</v>
      </c>
      <c r="F38" s="329"/>
      <c r="G38" s="330">
        <f>+C34+F34+I34+L34+O34</f>
        <v>11076430450</v>
      </c>
      <c r="H38" s="330"/>
      <c r="O38" s="240"/>
    </row>
    <row r="39" spans="1:39" s="238" customFormat="1" ht="20.100000000000001" customHeight="1" x14ac:dyDescent="0.25">
      <c r="B39" s="239"/>
      <c r="E39" s="329" t="s">
        <v>170</v>
      </c>
      <c r="F39" s="329"/>
      <c r="G39" s="330">
        <f>+C35+F35+I35+L35+O35</f>
        <v>886114436</v>
      </c>
      <c r="H39" s="330"/>
      <c r="O39" s="240"/>
    </row>
    <row r="40" spans="1:39" s="238" customFormat="1" ht="20.100000000000001" customHeight="1" thickBot="1" x14ac:dyDescent="0.3">
      <c r="B40" s="241"/>
      <c r="C40" s="242"/>
      <c r="D40" s="242"/>
      <c r="E40" s="331" t="s">
        <v>171</v>
      </c>
      <c r="F40" s="331"/>
      <c r="G40" s="332">
        <f>+C36+F36+I36+L36+O36</f>
        <v>10190316014</v>
      </c>
      <c r="H40" s="332"/>
      <c r="I40" s="242"/>
      <c r="J40" s="242"/>
      <c r="K40" s="242"/>
      <c r="L40" s="242"/>
      <c r="M40" s="242"/>
      <c r="N40" s="242"/>
      <c r="O40" s="243"/>
    </row>
    <row r="41" spans="1:39" ht="15.75" thickTop="1" x14ac:dyDescent="0.25"/>
  </sheetData>
  <mergeCells count="10">
    <mergeCell ref="E39:F39"/>
    <mergeCell ref="G39:H39"/>
    <mergeCell ref="E40:F40"/>
    <mergeCell ref="G40:H40"/>
    <mergeCell ref="B2:AL2"/>
    <mergeCell ref="B4:V4"/>
    <mergeCell ref="W4:AM4"/>
    <mergeCell ref="B29:O30"/>
    <mergeCell ref="E38:F38"/>
    <mergeCell ref="G38:H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0C29-AB9C-4B8F-8EE0-C06C68FDEFA1}">
  <dimension ref="A1:AT41"/>
  <sheetViews>
    <sheetView topLeftCell="B25" workbookViewId="0">
      <selection activeCell="B31" sqref="B31"/>
    </sheetView>
  </sheetViews>
  <sheetFormatPr defaultRowHeight="15" x14ac:dyDescent="0.25"/>
  <cols>
    <col min="1" max="1" width="9.28515625" style="1" bestFit="1" customWidth="1"/>
    <col min="2" max="3" width="13.85546875" style="1" bestFit="1" customWidth="1"/>
    <col min="4" max="4" width="9.140625" style="1"/>
    <col min="5" max="6" width="13.85546875" style="1" bestFit="1" customWidth="1"/>
    <col min="7" max="7" width="9.28515625" style="1" bestFit="1" customWidth="1"/>
    <col min="8" max="9" width="13.85546875" style="1" bestFit="1" customWidth="1"/>
    <col min="10" max="10" width="13" style="1" customWidth="1"/>
    <col min="11" max="11" width="13.85546875" style="1" bestFit="1" customWidth="1"/>
    <col min="12" max="12" width="14.28515625" style="1" customWidth="1"/>
    <col min="13" max="13" width="9.28515625" style="1" bestFit="1" customWidth="1"/>
    <col min="14" max="16" width="13.85546875" style="1" bestFit="1" customWidth="1"/>
    <col min="17" max="17" width="12.28515625" style="1" bestFit="1" customWidth="1"/>
    <col min="18" max="18" width="13.85546875" style="1" bestFit="1" customWidth="1"/>
    <col min="19" max="19" width="12.7109375" style="1" bestFit="1" customWidth="1"/>
    <col min="20" max="20" width="14.7109375" style="1" customWidth="1"/>
    <col min="21" max="21" width="12.7109375" style="1" bestFit="1" customWidth="1"/>
    <col min="22" max="22" width="15.7109375" style="1" bestFit="1" customWidth="1"/>
    <col min="23" max="25" width="11.7109375" style="1" customWidth="1"/>
    <col min="26" max="26" width="12.28515625" style="1" bestFit="1" customWidth="1"/>
    <col min="27" max="30" width="11.7109375" style="1" customWidth="1"/>
    <col min="31" max="31" width="13.85546875" style="1" bestFit="1" customWidth="1"/>
    <col min="32" max="33" width="11.7109375" style="1" customWidth="1"/>
    <col min="34" max="34" width="12.28515625" style="1" bestFit="1" customWidth="1"/>
    <col min="35" max="39" width="11.7109375" style="1" customWidth="1"/>
    <col min="40" max="40" width="12.28515625" style="1" bestFit="1" customWidth="1"/>
    <col min="41" max="41" width="12.140625" style="1" bestFit="1" customWidth="1"/>
    <col min="42" max="42" width="13.28515625" style="1" bestFit="1" customWidth="1"/>
    <col min="43" max="43" width="9.28515625" style="1" bestFit="1" customWidth="1"/>
    <col min="44" max="46" width="10.140625" style="1" bestFit="1" customWidth="1"/>
    <col min="47" max="16384" width="9.140625" style="1"/>
  </cols>
  <sheetData>
    <row r="1" spans="1:46" ht="17.25" customHeight="1" x14ac:dyDescent="0.25">
      <c r="E1" s="6"/>
      <c r="L1" s="5"/>
      <c r="R1" s="4"/>
      <c r="S1" s="4"/>
      <c r="X1" s="8"/>
      <c r="Y1" s="9"/>
      <c r="Z1" s="5"/>
      <c r="AB1" s="1" t="str">
        <f t="shared" ref="AB1:AC1" si="0">+IF(U1="Cty Ngọc Anh",J1, "")</f>
        <v/>
      </c>
      <c r="AC1" s="1" t="str">
        <f t="shared" si="0"/>
        <v/>
      </c>
      <c r="AE1" s="1" t="str">
        <f>+IF($V1="Cty Hoàng Quyên",$K1, "")</f>
        <v/>
      </c>
      <c r="AF1" s="1" t="str">
        <f>+IF($V1="Cty Hoàng Long",$K1, "")</f>
        <v/>
      </c>
      <c r="AG1" s="1" t="str">
        <f>+IF($V1="Cty An Hưng",$K1, "")</f>
        <v/>
      </c>
      <c r="AH1" s="1" t="str">
        <f>+IF($V1="Cty An Hưng",$K1, "")</f>
        <v/>
      </c>
      <c r="AI1" s="1" t="str">
        <f>+IF($V1="Cty An Hưng",$K1, "")</f>
        <v/>
      </c>
      <c r="AJ1" s="1" t="str">
        <f>+IF($V1="Cty Thành Năm",$K1, "")</f>
        <v/>
      </c>
      <c r="AK1" s="1" t="str">
        <f>+IF($V1="Cty Tân Hoàng Đạt",$K1, "")</f>
        <v/>
      </c>
      <c r="AL1" s="1" t="str">
        <f>+IF($V1="Cty Thái Bình Dương",$K1, "")</f>
        <v/>
      </c>
      <c r="AM1" s="1" t="str">
        <f>+IF($V1="Cty Việt Anh",$K1, "")</f>
        <v/>
      </c>
      <c r="AN1" s="1" t="str">
        <f>+IF($V1="Cty Thành Công",$K1, "")</f>
        <v/>
      </c>
      <c r="AO1" s="1" t="str">
        <f>+IF($V1="Cty Sông Hậu",$K1, "")</f>
        <v/>
      </c>
      <c r="AP1" s="1" t="str">
        <f>+IF($V1="Cty Hằng Phát",$K1, "")</f>
        <v/>
      </c>
    </row>
    <row r="2" spans="1:46" ht="22.5" x14ac:dyDescent="0.3">
      <c r="B2" s="328" t="s">
        <v>68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328"/>
      <c r="AM2" s="1" t="str">
        <f>+IF($V2="Cty Việt Anh",$K2, "")</f>
        <v/>
      </c>
      <c r="AN2" s="1" t="str">
        <f>+IF($V2="Cty Thành Công",$K2, "")</f>
        <v/>
      </c>
      <c r="AO2" s="1" t="str">
        <f>+IF($V2="Cty Sông Hậu",$K2, "")</f>
        <v/>
      </c>
      <c r="AP2" s="1" t="str">
        <f>+IF($V2="Cty Hằng Phát",$K2, "")</f>
        <v/>
      </c>
    </row>
    <row r="3" spans="1:46" ht="22.5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46" ht="22.5" x14ac:dyDescent="0.3">
      <c r="A4" s="2"/>
      <c r="B4" s="325" t="s">
        <v>58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7"/>
      <c r="W4" s="325" t="s">
        <v>59</v>
      </c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1" t="str">
        <f>+IF($V4="Cty Thành Công",$K4, "")</f>
        <v/>
      </c>
      <c r="AO4" s="1" t="str">
        <f>+IF($V4="Cty Sông Hậu",$K4, "")</f>
        <v/>
      </c>
      <c r="AP4" s="1" t="str">
        <f>+IF($V4="Cty Hằng Phát",$K4, "")</f>
        <v/>
      </c>
    </row>
    <row r="5" spans="1:46" s="10" customFormat="1" ht="43.5" thickBot="1" x14ac:dyDescent="0.3">
      <c r="A5" s="79" t="s">
        <v>160</v>
      </c>
      <c r="B5" s="68" t="s">
        <v>3</v>
      </c>
      <c r="C5" s="68" t="s">
        <v>61</v>
      </c>
      <c r="D5" s="68" t="s">
        <v>4</v>
      </c>
      <c r="E5" s="68" t="s">
        <v>13</v>
      </c>
      <c r="F5" s="68" t="s">
        <v>5</v>
      </c>
      <c r="G5" s="68" t="s">
        <v>42</v>
      </c>
      <c r="H5" s="68" t="s">
        <v>6</v>
      </c>
      <c r="I5" s="68" t="s">
        <v>7</v>
      </c>
      <c r="J5" s="68" t="s">
        <v>161</v>
      </c>
      <c r="K5" s="68" t="s">
        <v>8</v>
      </c>
      <c r="L5" s="69" t="s">
        <v>12</v>
      </c>
      <c r="M5" s="68" t="s">
        <v>43</v>
      </c>
      <c r="N5" s="68" t="s">
        <v>10</v>
      </c>
      <c r="O5" s="68" t="s">
        <v>162</v>
      </c>
      <c r="P5" s="68" t="s">
        <v>163</v>
      </c>
      <c r="Q5" s="68" t="s">
        <v>32</v>
      </c>
      <c r="R5" s="68" t="s">
        <v>18</v>
      </c>
      <c r="S5" s="68" t="s">
        <v>23</v>
      </c>
      <c r="T5" s="68" t="s">
        <v>21</v>
      </c>
      <c r="U5" s="68" t="s">
        <v>20</v>
      </c>
      <c r="V5" s="68" t="s">
        <v>9</v>
      </c>
      <c r="W5" s="79" t="s">
        <v>44</v>
      </c>
      <c r="X5" s="79" t="s">
        <v>45</v>
      </c>
      <c r="Y5" s="79" t="s">
        <v>46</v>
      </c>
      <c r="Z5" s="79" t="s">
        <v>47</v>
      </c>
      <c r="AA5" s="79" t="s">
        <v>48</v>
      </c>
      <c r="AB5" s="79" t="s">
        <v>49</v>
      </c>
      <c r="AC5" s="79" t="s">
        <v>64</v>
      </c>
      <c r="AD5" s="79" t="s">
        <v>52</v>
      </c>
      <c r="AE5" s="79" t="s">
        <v>50</v>
      </c>
      <c r="AF5" s="79" t="s">
        <v>51</v>
      </c>
      <c r="AG5" s="79" t="s">
        <v>53</v>
      </c>
      <c r="AH5" s="79" t="s">
        <v>56</v>
      </c>
      <c r="AI5" s="79" t="s">
        <v>57</v>
      </c>
      <c r="AJ5" s="79" t="s">
        <v>54</v>
      </c>
      <c r="AK5" s="79" t="s">
        <v>164</v>
      </c>
      <c r="AL5" s="79" t="s">
        <v>165</v>
      </c>
      <c r="AM5" s="70" t="s">
        <v>60</v>
      </c>
      <c r="AN5" s="70" t="s">
        <v>167</v>
      </c>
      <c r="AO5" s="10" t="str">
        <f>+IF($V5="Cty Sông Hậu",$K5, "")</f>
        <v/>
      </c>
      <c r="AP5" s="10" t="str">
        <f>+IF($V5="Cty Hằng Phát",$K5, "")</f>
        <v/>
      </c>
    </row>
    <row r="6" spans="1:46" ht="30" customHeight="1" thickTop="1" x14ac:dyDescent="0.25">
      <c r="A6" s="71"/>
      <c r="B6" s="72"/>
      <c r="C6" s="72"/>
      <c r="D6" s="72"/>
      <c r="E6" s="73"/>
      <c r="F6" s="72"/>
      <c r="G6" s="73"/>
      <c r="H6" s="72"/>
      <c r="I6" s="73">
        <v>1</v>
      </c>
      <c r="J6" s="74">
        <v>2</v>
      </c>
      <c r="K6" s="72" t="s">
        <v>22</v>
      </c>
      <c r="L6" s="75">
        <v>4</v>
      </c>
      <c r="M6" s="73"/>
      <c r="N6" s="72">
        <v>5</v>
      </c>
      <c r="O6" s="73">
        <v>6</v>
      </c>
      <c r="P6" s="72" t="s">
        <v>25</v>
      </c>
      <c r="Q6" s="72" t="s">
        <v>34</v>
      </c>
      <c r="R6" s="72" t="s">
        <v>26</v>
      </c>
      <c r="S6" s="72" t="s">
        <v>27</v>
      </c>
      <c r="T6" s="73" t="s">
        <v>33</v>
      </c>
      <c r="U6" s="73" t="s">
        <v>28</v>
      </c>
      <c r="V6" s="72"/>
      <c r="W6" s="71"/>
      <c r="X6" s="71"/>
      <c r="Y6" s="71"/>
      <c r="Z6" s="76"/>
      <c r="AA6" s="71"/>
      <c r="AB6" s="71" t="str">
        <f>+IF(U6="Cty Ngọc Anh",J6, "")</f>
        <v/>
      </c>
      <c r="AC6" s="71" t="str">
        <f>+IF(V6="Cty Ngọc Anh",K6, "")</f>
        <v/>
      </c>
      <c r="AD6" s="71"/>
      <c r="AE6" s="71" t="str">
        <f>+IF($V6="Cty Hoàng Quyên",$K6, "")</f>
        <v/>
      </c>
      <c r="AF6" s="71" t="str">
        <f>+IF($V6="Cty Hoàng Long",$K6, "")</f>
        <v/>
      </c>
      <c r="AG6" s="71" t="str">
        <f>+IF($V6="Cty An Hưng",$K6, "")</f>
        <v/>
      </c>
      <c r="AH6" s="71" t="str">
        <f>+IF($V6="Cty An Hưng",$K6, "")</f>
        <v/>
      </c>
      <c r="AI6" s="71" t="str">
        <f>+IF($V6="Cty An Hưng",$K6, "")</f>
        <v/>
      </c>
      <c r="AJ6" s="71" t="str">
        <f>+IF($V6="Cty Thành Năm",$K6, "")</f>
        <v/>
      </c>
      <c r="AK6" s="71" t="str">
        <f>+IF($V6="Cty Tân Hoàng Đạt",$K6, "")</f>
        <v/>
      </c>
      <c r="AL6" s="71" t="str">
        <f>+IF($V6="Cty Thái Bình Dương",$K6, "")</f>
        <v/>
      </c>
      <c r="AM6" s="77" t="str">
        <f>+IF($V6="Cty Việt Anh",$K6, "")</f>
        <v/>
      </c>
      <c r="AN6" s="77" t="str">
        <f>+IF($V6="Cty Thành Công",$K6, "")</f>
        <v/>
      </c>
      <c r="AO6" s="13">
        <v>45932.5625</v>
      </c>
      <c r="AP6" s="13">
        <v>45940.8125</v>
      </c>
      <c r="AQ6" s="12">
        <f>++AP6-AO6</f>
        <v>8.25</v>
      </c>
      <c r="AR6" s="11" t="e">
        <f>+AJ6/31*AQ6</f>
        <v>#VALUE!</v>
      </c>
      <c r="AS6" s="11" t="e">
        <f>+AG6/31*AQ6</f>
        <v>#VALUE!</v>
      </c>
      <c r="AT6" s="11" t="e">
        <f>+AI6/31*AQ6</f>
        <v>#VALUE!</v>
      </c>
    </row>
    <row r="7" spans="1:46" x14ac:dyDescent="0.25">
      <c r="A7" s="1" cm="1">
        <f t="array" ref="A7:AT16">+_xlfn._xlws.FILTER('So lieu khai thac'!A5:AT417,'So lieu khai thac'!A5:A417=22026,"")</f>
        <v>22026</v>
      </c>
      <c r="B7" s="1" t="str">
        <v>VG05</v>
      </c>
      <c r="C7" s="1" t="str">
        <v>C5</v>
      </c>
      <c r="D7" s="1" t="str">
        <v>Cát</v>
      </c>
      <c r="E7" s="1">
        <v>46055</v>
      </c>
      <c r="F7" s="1" t="str">
        <v>Cần Thơ</v>
      </c>
      <c r="G7" s="1">
        <v>46066</v>
      </c>
      <c r="H7" s="1" t="str">
        <v>Đà Nẵng</v>
      </c>
      <c r="I7" s="1">
        <v>3960.99</v>
      </c>
      <c r="J7" s="5">
        <v>120000</v>
      </c>
      <c r="K7" s="5">
        <v>475318800</v>
      </c>
      <c r="L7" s="1">
        <v>20</v>
      </c>
      <c r="M7" s="1">
        <v>0</v>
      </c>
      <c r="N7" s="5">
        <v>15000</v>
      </c>
      <c r="O7" s="5">
        <v>124999.99999999999</v>
      </c>
      <c r="P7" s="5">
        <v>495123749.99999994</v>
      </c>
      <c r="Q7" s="5">
        <v>39609899.999999993</v>
      </c>
      <c r="R7" s="5">
        <v>534733649.99999994</v>
      </c>
      <c r="S7" s="5">
        <v>59414849.99999994</v>
      </c>
      <c r="T7" s="5">
        <v>15403849.999999985</v>
      </c>
      <c r="U7" s="5">
        <v>44010999.999999955</v>
      </c>
      <c r="V7" s="1" t="str">
        <v>Hoàng Quyên</v>
      </c>
      <c r="W7" s="5">
        <v>0</v>
      </c>
      <c r="X7" s="5">
        <v>534733649.99999994</v>
      </c>
      <c r="Y7" s="5">
        <v>0</v>
      </c>
      <c r="Z7" s="5">
        <v>0</v>
      </c>
      <c r="AA7" s="5">
        <v>0</v>
      </c>
      <c r="AB7" s="5">
        <v>0</v>
      </c>
      <c r="AC7" s="5">
        <v>9155745</v>
      </c>
      <c r="AD7" s="5">
        <v>0</v>
      </c>
      <c r="AE7" s="5">
        <v>2500000</v>
      </c>
      <c r="AF7" s="5">
        <v>23647000</v>
      </c>
      <c r="AG7" s="5">
        <v>0</v>
      </c>
      <c r="AH7" s="5">
        <v>0</v>
      </c>
      <c r="AI7" s="5">
        <v>0</v>
      </c>
      <c r="AJ7" s="5">
        <v>11137000</v>
      </c>
      <c r="AK7" s="5">
        <v>0</v>
      </c>
      <c r="AL7" s="5" t="str">
        <v/>
      </c>
      <c r="AM7" s="5">
        <v>223811168</v>
      </c>
      <c r="AN7" s="5">
        <v>38025504</v>
      </c>
      <c r="AO7" s="1">
        <v>10069583</v>
      </c>
      <c r="AP7" s="1">
        <v>37710000</v>
      </c>
      <c r="AQ7" s="1">
        <v>41517140</v>
      </c>
      <c r="AR7" s="1">
        <v>5565000</v>
      </c>
      <c r="AS7" s="1" t="str">
        <v/>
      </c>
      <c r="AT7" s="1">
        <v>403138140</v>
      </c>
    </row>
    <row r="8" spans="1:46" x14ac:dyDescent="0.25">
      <c r="A8" s="1">
        <v>22026</v>
      </c>
      <c r="B8" s="1" t="str">
        <v>VG05</v>
      </c>
      <c r="C8" s="1" t="str">
        <v>C6</v>
      </c>
      <c r="D8" s="1" t="str">
        <v>Cliker</v>
      </c>
      <c r="E8" s="1">
        <v>46067</v>
      </c>
      <c r="F8" s="1" t="str">
        <v>Hòn La</v>
      </c>
      <c r="G8" s="1">
        <v>46087</v>
      </c>
      <c r="H8" s="1" t="str">
        <v>Cần Thơ</v>
      </c>
      <c r="I8" s="1">
        <v>3999.6</v>
      </c>
      <c r="J8" s="5">
        <v>200000</v>
      </c>
      <c r="K8" s="5">
        <v>799920000</v>
      </c>
      <c r="L8" s="1">
        <v>25</v>
      </c>
      <c r="M8" s="1">
        <v>0</v>
      </c>
      <c r="N8" s="5">
        <v>17000</v>
      </c>
      <c r="O8" s="5">
        <v>200925.92592592593</v>
      </c>
      <c r="P8" s="5">
        <v>803623333.33333337</v>
      </c>
      <c r="Q8" s="5">
        <v>64289866.666666672</v>
      </c>
      <c r="R8" s="5">
        <v>867913200</v>
      </c>
      <c r="S8" s="5">
        <v>67993200</v>
      </c>
      <c r="T8" s="5">
        <v>17627866.666666668</v>
      </c>
      <c r="U8" s="5">
        <v>50365333.333333328</v>
      </c>
      <c r="V8" s="1" t="str">
        <v>Thái Bình Dương</v>
      </c>
      <c r="W8" s="5">
        <v>0</v>
      </c>
      <c r="X8" s="5">
        <v>867913200</v>
      </c>
      <c r="Y8" s="5">
        <v>0</v>
      </c>
      <c r="Z8" s="5">
        <v>0</v>
      </c>
      <c r="AA8" s="5">
        <v>0</v>
      </c>
      <c r="AB8" s="5">
        <v>0</v>
      </c>
      <c r="AC8" s="5">
        <v>11682336</v>
      </c>
      <c r="AD8" s="5">
        <v>9451720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63993600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85127656</v>
      </c>
    </row>
    <row r="9" spans="1:46" x14ac:dyDescent="0.25">
      <c r="A9" s="1">
        <v>22026</v>
      </c>
      <c r="B9" s="1" t="str">
        <v>VG09</v>
      </c>
      <c r="C9" s="1" t="str">
        <v>C3</v>
      </c>
      <c r="D9" s="1" t="str">
        <v>Tro ẩm</v>
      </c>
      <c r="E9" s="1">
        <v>46047</v>
      </c>
      <c r="F9" s="1" t="str">
        <v>Vĩnh Tân</v>
      </c>
      <c r="G9" s="1">
        <v>46058</v>
      </c>
      <c r="H9" s="1" t="str">
        <v>Nghi Sơn</v>
      </c>
      <c r="I9" s="1">
        <v>4576.5</v>
      </c>
      <c r="J9" s="5">
        <v>95000</v>
      </c>
      <c r="K9" s="5">
        <v>434767500</v>
      </c>
      <c r="L9" s="1">
        <v>17</v>
      </c>
      <c r="M9" s="1">
        <v>0</v>
      </c>
      <c r="N9" s="5">
        <v>0</v>
      </c>
      <c r="O9" s="5">
        <v>87962.962962962964</v>
      </c>
      <c r="P9" s="5">
        <v>402562500</v>
      </c>
      <c r="Q9" s="5">
        <v>32205000</v>
      </c>
      <c r="R9" s="5">
        <v>434767500</v>
      </c>
      <c r="S9" s="5">
        <v>0</v>
      </c>
      <c r="T9" s="5">
        <v>0</v>
      </c>
      <c r="U9" s="5">
        <v>0</v>
      </c>
      <c r="V9" s="1" t="str">
        <v>Ngọc Anh</v>
      </c>
      <c r="W9" s="5">
        <v>0</v>
      </c>
      <c r="X9" s="5">
        <v>434767500</v>
      </c>
      <c r="Y9" s="5">
        <v>0</v>
      </c>
      <c r="Z9" s="5">
        <v>0</v>
      </c>
      <c r="AA9" s="5">
        <v>0</v>
      </c>
      <c r="AB9" s="5">
        <v>0</v>
      </c>
      <c r="AC9" s="5">
        <v>43024312</v>
      </c>
      <c r="AD9" s="5">
        <v>0</v>
      </c>
      <c r="AE9" s="5">
        <v>7400000</v>
      </c>
      <c r="AF9" s="5">
        <v>12570000</v>
      </c>
      <c r="AG9" s="5">
        <v>0</v>
      </c>
      <c r="AH9" s="5">
        <v>0</v>
      </c>
      <c r="AI9" s="5">
        <v>0</v>
      </c>
      <c r="AJ9" s="5">
        <v>9900000</v>
      </c>
      <c r="AK9" s="5">
        <v>355195500</v>
      </c>
      <c r="AL9" s="5">
        <v>0</v>
      </c>
      <c r="AM9" s="5">
        <v>254782699.66666666</v>
      </c>
      <c r="AN9" s="5">
        <v>34781400</v>
      </c>
      <c r="AO9" s="1">
        <v>12061667</v>
      </c>
      <c r="AP9" s="1">
        <v>22817000</v>
      </c>
      <c r="AQ9" s="1">
        <v>7175640</v>
      </c>
      <c r="AR9" s="1">
        <v>2995000</v>
      </c>
      <c r="AS9" s="1">
        <v>0</v>
      </c>
      <c r="AT9" s="1">
        <v>762703218.66666663</v>
      </c>
    </row>
    <row r="10" spans="1:46" x14ac:dyDescent="0.25">
      <c r="A10" s="1">
        <v>22026</v>
      </c>
      <c r="B10" s="1" t="str">
        <v>VG09</v>
      </c>
      <c r="C10" s="1" t="str">
        <v>C4</v>
      </c>
      <c r="D10" s="1" t="str">
        <v>Xỉ</v>
      </c>
      <c r="E10" s="1">
        <v>46059</v>
      </c>
      <c r="F10" s="1" t="str">
        <v>Sơn Dương</v>
      </c>
      <c r="G10" s="1">
        <v>46080</v>
      </c>
      <c r="H10" s="1" t="str">
        <v>Hậu Giang</v>
      </c>
      <c r="I10" s="1">
        <v>4745</v>
      </c>
      <c r="J10" s="5">
        <v>193000</v>
      </c>
      <c r="K10" s="5">
        <v>915785000</v>
      </c>
      <c r="L10" s="1">
        <v>21</v>
      </c>
      <c r="M10" s="1">
        <v>0</v>
      </c>
      <c r="N10" s="5">
        <v>10000</v>
      </c>
      <c r="O10" s="5">
        <v>187962.96296296295</v>
      </c>
      <c r="P10" s="5">
        <v>891884259.25925922</v>
      </c>
      <c r="Q10" s="5">
        <v>71350740.740740746</v>
      </c>
      <c r="R10" s="5">
        <v>963235000</v>
      </c>
      <c r="S10" s="5">
        <v>47450000</v>
      </c>
      <c r="T10" s="5">
        <v>12301851.851851851</v>
      </c>
      <c r="U10" s="5">
        <v>35148148.148148149</v>
      </c>
      <c r="V10" s="1" t="str">
        <v>Ngọc Anh</v>
      </c>
      <c r="W10" s="5">
        <v>0</v>
      </c>
      <c r="X10" s="5">
        <v>963235000</v>
      </c>
      <c r="Y10" s="5">
        <v>0</v>
      </c>
      <c r="Z10" s="5">
        <v>0</v>
      </c>
      <c r="AA10" s="5">
        <v>0</v>
      </c>
      <c r="AB10" s="5">
        <v>0</v>
      </c>
      <c r="AC10" s="5">
        <v>43593515</v>
      </c>
      <c r="AD10" s="5">
        <v>36923510</v>
      </c>
      <c r="AE10" s="5">
        <v>30000000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22816000</v>
      </c>
      <c r="AN10" s="5">
        <v>73262800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206595825</v>
      </c>
    </row>
    <row r="11" spans="1:46" x14ac:dyDescent="0.25">
      <c r="A11" s="1">
        <v>22026</v>
      </c>
      <c r="B11" s="1" t="str">
        <v>VG15</v>
      </c>
      <c r="C11" s="1" t="str">
        <v>C4</v>
      </c>
      <c r="D11" s="1" t="str">
        <v>Quặng</v>
      </c>
      <c r="E11" s="1">
        <v>46057</v>
      </c>
      <c r="F11" s="1" t="str">
        <v>Vĩnh Xương</v>
      </c>
      <c r="G11" s="1">
        <v>46076</v>
      </c>
      <c r="H11" s="1" t="str">
        <v>Hải Phòng</v>
      </c>
      <c r="I11" s="1">
        <v>4657.68</v>
      </c>
      <c r="J11" s="5">
        <v>145000</v>
      </c>
      <c r="K11" s="5">
        <v>675363600</v>
      </c>
      <c r="L11" s="1">
        <v>18</v>
      </c>
      <c r="M11" s="1">
        <v>0</v>
      </c>
      <c r="N11" s="5">
        <v>0</v>
      </c>
      <c r="O11" s="5">
        <v>134259.25925925924</v>
      </c>
      <c r="P11" s="5">
        <v>625336666.66666663</v>
      </c>
      <c r="Q11" s="5">
        <v>50026933.333333328</v>
      </c>
      <c r="R11" s="5">
        <v>675363600</v>
      </c>
      <c r="S11" s="5">
        <v>0</v>
      </c>
      <c r="T11" s="5">
        <v>0</v>
      </c>
      <c r="U11" s="5">
        <v>0</v>
      </c>
      <c r="V11" s="1" t="str">
        <v>Thái Bình Dương</v>
      </c>
      <c r="W11" s="5">
        <v>0</v>
      </c>
      <c r="X11" s="5">
        <v>675363600</v>
      </c>
      <c r="Y11" s="5">
        <v>0</v>
      </c>
      <c r="Z11" s="5">
        <v>0</v>
      </c>
      <c r="AA11" s="5">
        <v>0</v>
      </c>
      <c r="AB11" s="5">
        <v>0</v>
      </c>
      <c r="AC11" s="5">
        <v>56147548</v>
      </c>
      <c r="AD11" s="5">
        <v>27619385</v>
      </c>
      <c r="AE11" s="5">
        <v>11195000</v>
      </c>
      <c r="AF11" s="5">
        <v>18195000</v>
      </c>
      <c r="AG11" s="5">
        <v>0</v>
      </c>
      <c r="AH11" s="5">
        <v>0</v>
      </c>
      <c r="AI11" s="5">
        <v>0</v>
      </c>
      <c r="AJ11" s="5">
        <v>11000000</v>
      </c>
      <c r="AK11" s="5">
        <v>563635700</v>
      </c>
      <c r="AL11" s="5">
        <v>0</v>
      </c>
      <c r="AM11" s="5">
        <v>255338967</v>
      </c>
      <c r="AN11" s="5">
        <v>54029088</v>
      </c>
      <c r="AO11" s="1">
        <v>11511042</v>
      </c>
      <c r="AP11" s="1">
        <v>40320000</v>
      </c>
      <c r="AQ11" s="1">
        <v>0</v>
      </c>
      <c r="AR11" s="1">
        <v>0</v>
      </c>
      <c r="AS11" s="1">
        <v>0</v>
      </c>
      <c r="AT11" s="1">
        <v>1048991730</v>
      </c>
    </row>
    <row r="12" spans="1:46" x14ac:dyDescent="0.25">
      <c r="A12" s="1">
        <v>22026</v>
      </c>
      <c r="B12" s="1" t="str">
        <v>VG15</v>
      </c>
      <c r="C12" s="1" t="str">
        <v>C5</v>
      </c>
      <c r="D12" s="1" t="str">
        <v>Xỉ</v>
      </c>
      <c r="E12" s="1">
        <v>46077</v>
      </c>
      <c r="F12" s="1" t="str">
        <v>Sơn Dương</v>
      </c>
      <c r="G12" s="1">
        <v>46088</v>
      </c>
      <c r="H12" s="1" t="str">
        <v>HCM</v>
      </c>
      <c r="I12" s="1">
        <v>4796</v>
      </c>
      <c r="J12" s="5">
        <v>193000</v>
      </c>
      <c r="K12" s="5">
        <v>925628000</v>
      </c>
      <c r="L12" s="1">
        <v>23</v>
      </c>
      <c r="M12" s="1">
        <v>0</v>
      </c>
      <c r="N12" s="5">
        <v>0</v>
      </c>
      <c r="O12" s="5">
        <v>178703.70370370368</v>
      </c>
      <c r="P12" s="5">
        <v>857062962.96296287</v>
      </c>
      <c r="Q12" s="5">
        <v>68565037.03703703</v>
      </c>
      <c r="R12" s="5">
        <v>925627999.99999988</v>
      </c>
      <c r="S12" s="5">
        <v>0</v>
      </c>
      <c r="T12" s="5">
        <v>0</v>
      </c>
      <c r="U12" s="5">
        <v>0</v>
      </c>
      <c r="V12" s="1" t="str">
        <v>Ngọc Anh</v>
      </c>
      <c r="W12" s="5">
        <v>0</v>
      </c>
      <c r="X12" s="5">
        <v>925627999.99999988</v>
      </c>
      <c r="Y12" s="5">
        <v>0</v>
      </c>
      <c r="Z12" s="5">
        <v>0</v>
      </c>
      <c r="AA12" s="5">
        <v>0</v>
      </c>
      <c r="AB12" s="5">
        <v>0</v>
      </c>
      <c r="AC12" s="5">
        <v>54927465</v>
      </c>
      <c r="AD12" s="5">
        <v>35108518</v>
      </c>
      <c r="AE12" s="5">
        <v>1800000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74050240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165886223</v>
      </c>
    </row>
    <row r="13" spans="1:46" x14ac:dyDescent="0.25">
      <c r="A13" s="1">
        <v>22026</v>
      </c>
      <c r="B13" s="1" t="str">
        <v>VG36</v>
      </c>
      <c r="C13" s="1" t="str">
        <v>C5</v>
      </c>
      <c r="D13" s="1" t="str">
        <v>Xỉ</v>
      </c>
      <c r="E13" s="1">
        <v>46060</v>
      </c>
      <c r="F13" s="1" t="str">
        <v>Sơn Dương</v>
      </c>
      <c r="G13" s="1">
        <v>46068</v>
      </c>
      <c r="H13" s="1" t="str">
        <v>Hậu Giang</v>
      </c>
      <c r="I13" s="1">
        <v>4762</v>
      </c>
      <c r="J13" s="5">
        <v>193000</v>
      </c>
      <c r="K13" s="5">
        <v>919066000</v>
      </c>
      <c r="L13" s="1">
        <v>18</v>
      </c>
      <c r="M13" s="1" t="str">
        <v>23/1</v>
      </c>
      <c r="N13" s="5">
        <v>10000</v>
      </c>
      <c r="O13" s="5">
        <v>187962.96296296295</v>
      </c>
      <c r="P13" s="5">
        <v>895079629.62962961</v>
      </c>
      <c r="Q13" s="5">
        <v>71606370.370370373</v>
      </c>
      <c r="R13" s="5">
        <v>966686000</v>
      </c>
      <c r="S13" s="5">
        <v>47620000</v>
      </c>
      <c r="T13" s="5">
        <v>12345925.925925925</v>
      </c>
      <c r="U13" s="5">
        <v>35274074.074074075</v>
      </c>
      <c r="V13" s="1" t="str">
        <v>Ngọc Anh</v>
      </c>
      <c r="W13" s="5">
        <v>0</v>
      </c>
      <c r="X13" s="5">
        <v>966686000</v>
      </c>
      <c r="Y13" s="5">
        <v>0</v>
      </c>
      <c r="Z13" s="5">
        <v>0</v>
      </c>
      <c r="AA13" s="5">
        <v>0</v>
      </c>
      <c r="AB13" s="5">
        <v>0</v>
      </c>
      <c r="AC13" s="5">
        <v>44749011</v>
      </c>
      <c r="AD13" s="5">
        <v>41789104</v>
      </c>
      <c r="AE13" s="5">
        <v>4200000</v>
      </c>
      <c r="AF13" s="5">
        <v>8300000</v>
      </c>
      <c r="AG13" s="5">
        <v>0</v>
      </c>
      <c r="AH13" s="5">
        <v>0</v>
      </c>
      <c r="AI13" s="5">
        <v>0</v>
      </c>
      <c r="AJ13" s="5">
        <v>7700000</v>
      </c>
      <c r="AK13" s="5">
        <v>0</v>
      </c>
      <c r="AL13" s="5">
        <v>0</v>
      </c>
      <c r="AM13" s="5">
        <v>21664000</v>
      </c>
      <c r="AN13" s="5">
        <v>73525280</v>
      </c>
      <c r="AO13" s="1">
        <v>13653750</v>
      </c>
      <c r="AP13" s="1">
        <v>59270000</v>
      </c>
      <c r="AQ13" s="1">
        <v>41181000</v>
      </c>
      <c r="AR13" s="1">
        <v>0</v>
      </c>
      <c r="AS13" s="1">
        <v>0</v>
      </c>
      <c r="AT13" s="1">
        <v>316032145</v>
      </c>
    </row>
    <row r="14" spans="1:46" x14ac:dyDescent="0.25">
      <c r="A14" s="1">
        <v>22026</v>
      </c>
      <c r="B14" s="1" t="str">
        <v>VG36</v>
      </c>
      <c r="C14" s="1" t="str">
        <v>C6</v>
      </c>
      <c r="D14" s="1" t="str">
        <v xml:space="preserve">Quặng </v>
      </c>
      <c r="E14" s="1">
        <v>46069</v>
      </c>
      <c r="F14" s="1" t="str">
        <v>Vĩnh Xương</v>
      </c>
      <c r="G14" s="1">
        <v>46086</v>
      </c>
      <c r="H14" s="1" t="str">
        <v>Hải Phòng</v>
      </c>
      <c r="I14" s="1">
        <v>4694.6499999999996</v>
      </c>
      <c r="J14" s="5">
        <v>145000</v>
      </c>
      <c r="K14" s="5">
        <v>680724250</v>
      </c>
      <c r="L14" s="1">
        <v>22</v>
      </c>
      <c r="M14" s="1">
        <v>0</v>
      </c>
      <c r="N14" s="5">
        <v>0</v>
      </c>
      <c r="O14" s="5">
        <v>134259.25925925924</v>
      </c>
      <c r="P14" s="5">
        <v>630300231.48148131</v>
      </c>
      <c r="Q14" s="5">
        <v>50424018.518518507</v>
      </c>
      <c r="R14" s="5">
        <v>680724249.99999976</v>
      </c>
      <c r="S14" s="5">
        <v>0</v>
      </c>
      <c r="T14" s="5">
        <v>0</v>
      </c>
      <c r="U14" s="5">
        <v>0</v>
      </c>
      <c r="V14" s="1" t="str">
        <v>Ngọc Anh</v>
      </c>
      <c r="W14" s="5">
        <v>0</v>
      </c>
      <c r="X14" s="5">
        <v>680724249.99999976</v>
      </c>
      <c r="Y14" s="5">
        <v>0</v>
      </c>
      <c r="Z14" s="5">
        <v>0</v>
      </c>
      <c r="AA14" s="5">
        <v>0</v>
      </c>
      <c r="AB14" s="5">
        <v>0</v>
      </c>
      <c r="AC14" s="5">
        <v>57467488</v>
      </c>
      <c r="AD14" s="5">
        <v>28954579</v>
      </c>
      <c r="AE14" s="5">
        <v>8400000</v>
      </c>
      <c r="AF14" s="5">
        <v>9800000</v>
      </c>
      <c r="AG14" s="5">
        <v>0</v>
      </c>
      <c r="AH14" s="5">
        <v>0</v>
      </c>
      <c r="AI14" s="5">
        <v>0</v>
      </c>
      <c r="AJ14" s="5">
        <v>11000000</v>
      </c>
      <c r="AK14" s="5">
        <v>0</v>
      </c>
      <c r="AL14" s="5">
        <v>0</v>
      </c>
      <c r="AM14" s="5">
        <v>0</v>
      </c>
      <c r="AN14" s="5">
        <v>54457940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170080007</v>
      </c>
    </row>
    <row r="15" spans="1:46" x14ac:dyDescent="0.25">
      <c r="A15" s="1">
        <v>22026</v>
      </c>
      <c r="B15" s="1" t="str">
        <v>VG18</v>
      </c>
      <c r="C15" s="1" t="str">
        <v>C3</v>
      </c>
      <c r="D15" s="1" t="str">
        <v>Đường</v>
      </c>
      <c r="E15" s="1">
        <v>46056</v>
      </c>
      <c r="F15" s="1" t="str">
        <v>Phú Mỹ</v>
      </c>
      <c r="G15" s="1">
        <v>46062</v>
      </c>
      <c r="H15" s="1" t="str">
        <v>Nam Vân Phong</v>
      </c>
      <c r="I15" s="1">
        <v>4980.97</v>
      </c>
      <c r="J15" s="5">
        <v>92000</v>
      </c>
      <c r="K15" s="5">
        <v>458249240</v>
      </c>
      <c r="L15" s="1">
        <v>16</v>
      </c>
      <c r="M15" s="1">
        <v>0</v>
      </c>
      <c r="N15" s="5">
        <v>0</v>
      </c>
      <c r="O15" s="5">
        <v>85185.185185185182</v>
      </c>
      <c r="P15" s="5">
        <v>424304851.85185188</v>
      </c>
      <c r="Q15" s="5">
        <v>33944388.148148149</v>
      </c>
      <c r="R15" s="5">
        <v>458249240</v>
      </c>
      <c r="S15" s="5">
        <v>0</v>
      </c>
      <c r="T15" s="5">
        <v>0</v>
      </c>
      <c r="U15" s="5">
        <v>0</v>
      </c>
      <c r="V15" s="1" t="str">
        <v>Việt Anh</v>
      </c>
      <c r="W15" s="5">
        <v>0</v>
      </c>
      <c r="X15" s="5">
        <v>458249240</v>
      </c>
      <c r="Y15" s="5">
        <v>0</v>
      </c>
      <c r="Z15" s="5">
        <v>0</v>
      </c>
      <c r="AA15" s="5">
        <v>0</v>
      </c>
      <c r="AB15" s="5">
        <v>0</v>
      </c>
      <c r="AC15" s="5">
        <v>49732588</v>
      </c>
      <c r="AD15" s="5">
        <v>83786824</v>
      </c>
      <c r="AE15" s="5">
        <v>5600000</v>
      </c>
      <c r="AF15" s="5">
        <v>5500000</v>
      </c>
      <c r="AG15" s="5">
        <v>0</v>
      </c>
      <c r="AH15" s="5">
        <v>0</v>
      </c>
      <c r="AI15" s="5">
        <v>0</v>
      </c>
      <c r="AJ15" s="5">
        <v>6480000</v>
      </c>
      <c r="AK15" s="5">
        <v>435132000</v>
      </c>
      <c r="AL15" s="5" t="str">
        <v/>
      </c>
      <c r="AM15" s="5">
        <v>257918500</v>
      </c>
      <c r="AN15" s="5">
        <v>36659939.200000003</v>
      </c>
      <c r="AO15" s="1">
        <v>0</v>
      </c>
      <c r="AP15" s="1">
        <v>52110000</v>
      </c>
      <c r="AQ15" s="1">
        <v>4817000</v>
      </c>
      <c r="AR15" s="1">
        <v>5435000</v>
      </c>
      <c r="AS15" s="1" t="str">
        <v/>
      </c>
      <c r="AT15" s="1">
        <v>943171851.20000005</v>
      </c>
    </row>
    <row r="16" spans="1:46" x14ac:dyDescent="0.25">
      <c r="A16" s="1">
        <v>22026</v>
      </c>
      <c r="B16" s="1" t="str">
        <v>VG18</v>
      </c>
      <c r="C16" s="1" t="str">
        <v>C4</v>
      </c>
      <c r="D16" s="1" t="str">
        <v>Clinker</v>
      </c>
      <c r="E16" s="1">
        <v>46063</v>
      </c>
      <c r="F16" s="1" t="str">
        <v>Hòn La</v>
      </c>
      <c r="G16" s="1">
        <v>46088</v>
      </c>
      <c r="H16" s="1" t="str">
        <v>HCM</v>
      </c>
      <c r="I16" s="1">
        <v>7972.3</v>
      </c>
      <c r="J16" s="5">
        <v>187500</v>
      </c>
      <c r="K16" s="5">
        <v>1494806250</v>
      </c>
      <c r="L16" s="1">
        <v>24</v>
      </c>
      <c r="M16" s="1">
        <v>0</v>
      </c>
      <c r="N16" s="5">
        <v>0</v>
      </c>
      <c r="O16" s="5">
        <v>173611.11111111109</v>
      </c>
      <c r="P16" s="5">
        <v>1384079861.1111109</v>
      </c>
      <c r="Q16" s="5">
        <v>110726388.88888888</v>
      </c>
      <c r="R16" s="5">
        <v>1494806249.9999998</v>
      </c>
      <c r="S16" s="5">
        <v>0</v>
      </c>
      <c r="T16" s="5">
        <v>0</v>
      </c>
      <c r="U16" s="5">
        <v>0</v>
      </c>
      <c r="V16" s="1" t="str">
        <v>Ngọc Anh</v>
      </c>
      <c r="W16" s="5">
        <v>0</v>
      </c>
      <c r="X16" s="5">
        <v>1494806249.9999998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46981024</v>
      </c>
      <c r="AE16" s="5">
        <v>14670000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 t="str">
        <v/>
      </c>
      <c r="AM16" s="5">
        <v>24096000</v>
      </c>
      <c r="AN16" s="5">
        <v>119584500</v>
      </c>
      <c r="AO16" s="1">
        <v>0</v>
      </c>
      <c r="AP16" s="1">
        <v>0</v>
      </c>
      <c r="AQ16" s="1">
        <v>0</v>
      </c>
      <c r="AR16" s="1">
        <v>0</v>
      </c>
      <c r="AS16" s="1" t="str">
        <v/>
      </c>
      <c r="AT16" s="1">
        <v>205331524</v>
      </c>
    </row>
    <row r="17" spans="1:40" x14ac:dyDescent="0.25">
      <c r="J17" s="5"/>
      <c r="K17" s="5"/>
      <c r="N17" s="5"/>
      <c r="O17" s="5"/>
      <c r="P17" s="5"/>
      <c r="Q17" s="5"/>
      <c r="R17" s="5"/>
      <c r="S17" s="5"/>
      <c r="T17" s="5"/>
      <c r="U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5"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40" x14ac:dyDescent="0.25"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40" x14ac:dyDescent="0.25"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40" x14ac:dyDescent="0.25"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40" x14ac:dyDescent="0.25"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40" x14ac:dyDescent="0.25"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40" x14ac:dyDescent="0.25"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40" x14ac:dyDescent="0.25"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40" x14ac:dyDescent="0.25"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40" x14ac:dyDescent="0.25"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40" ht="15.75" thickBot="1" x14ac:dyDescent="0.3"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40" ht="15.75" thickTop="1" x14ac:dyDescent="0.25">
      <c r="B29" s="333" t="s">
        <v>238</v>
      </c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40" x14ac:dyDescent="0.25">
      <c r="B30" s="336"/>
      <c r="C30" s="337"/>
      <c r="D30" s="337"/>
      <c r="E30" s="337"/>
      <c r="F30" s="337"/>
      <c r="G30" s="337"/>
      <c r="H30" s="337"/>
      <c r="I30" s="337"/>
      <c r="J30" s="337"/>
      <c r="K30" s="337"/>
      <c r="L30" s="337"/>
      <c r="M30" s="337"/>
      <c r="N30" s="337"/>
      <c r="O30" s="338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40" ht="15.75" thickBot="1" x14ac:dyDescent="0.3">
      <c r="B31" s="236"/>
      <c r="O31" s="237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40" ht="15.75" thickTop="1" x14ac:dyDescent="0.25">
      <c r="A32" s="216"/>
      <c r="B32" s="217" t="s">
        <v>70</v>
      </c>
      <c r="C32" s="218" t="s">
        <v>2</v>
      </c>
      <c r="D32" s="229"/>
      <c r="E32" s="218" t="s">
        <v>70</v>
      </c>
      <c r="F32" s="218" t="s">
        <v>0</v>
      </c>
      <c r="G32" s="229"/>
      <c r="H32" s="218" t="s">
        <v>70</v>
      </c>
      <c r="I32" s="218" t="s">
        <v>11</v>
      </c>
      <c r="J32" s="229"/>
      <c r="K32" s="218" t="s">
        <v>70</v>
      </c>
      <c r="L32" s="218" t="s">
        <v>65</v>
      </c>
      <c r="M32" s="232"/>
      <c r="N32" s="218" t="s">
        <v>70</v>
      </c>
      <c r="O32" s="219" t="s">
        <v>1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25">
      <c r="A33" s="216"/>
      <c r="B33" s="220" t="s">
        <v>166</v>
      </c>
      <c r="C33" s="221">
        <f>+COUNTIF($B$7:$B$30,C$32)</f>
        <v>2</v>
      </c>
      <c r="D33" s="230"/>
      <c r="E33" s="221" t="s">
        <v>166</v>
      </c>
      <c r="F33" s="221">
        <f>+COUNTIF($B$7:$B$30,F$32)</f>
        <v>2</v>
      </c>
      <c r="G33" s="230"/>
      <c r="H33" s="221" t="s">
        <v>166</v>
      </c>
      <c r="I33" s="221">
        <f>+COUNTIF($B$7:$B$30,I$32)</f>
        <v>2</v>
      </c>
      <c r="J33" s="230"/>
      <c r="K33" s="221" t="s">
        <v>166</v>
      </c>
      <c r="L33" s="221">
        <f>+COUNTIF($B$7:$B$30,L$32)</f>
        <v>2</v>
      </c>
      <c r="M33" s="233"/>
      <c r="N33" s="221" t="s">
        <v>166</v>
      </c>
      <c r="O33" s="222">
        <f>+COUNTIF($B$7:$B$30,O$32)</f>
        <v>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5">
      <c r="A34" s="216"/>
      <c r="B34" s="220" t="s">
        <v>58</v>
      </c>
      <c r="C34" s="223">
        <f>+SUMIF($B$7:$B$30,C32,$K$7:$K$30)</f>
        <v>1275238800</v>
      </c>
      <c r="D34" s="230"/>
      <c r="E34" s="221" t="s">
        <v>58</v>
      </c>
      <c r="F34" s="223">
        <f>+SUMIF($B$7:$B$30,F32,$K$7:$K$30)</f>
        <v>1350552500</v>
      </c>
      <c r="G34" s="230"/>
      <c r="H34" s="221" t="s">
        <v>58</v>
      </c>
      <c r="I34" s="223">
        <f>+SUMIF($B$7:$B$30,I32,$K$7:$K$30)</f>
        <v>1600991600</v>
      </c>
      <c r="J34" s="230"/>
      <c r="K34" s="221" t="s">
        <v>58</v>
      </c>
      <c r="L34" s="223">
        <f>+SUMIF($B$7:$B$30,L32,$K$7:$K$30)</f>
        <v>1953055490</v>
      </c>
      <c r="M34" s="234"/>
      <c r="N34" s="221" t="s">
        <v>58</v>
      </c>
      <c r="O34" s="224">
        <f>+SUMIF($B$7:$B$30,O32,$K$7:$K$30)</f>
        <v>1599790250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25">
      <c r="A35" s="216"/>
      <c r="B35" s="220" t="s">
        <v>79</v>
      </c>
      <c r="C35" s="223">
        <f>+SUMIF($B$7:$B$30,C32,$AN$7:$AN$30)</f>
        <v>102019104</v>
      </c>
      <c r="D35" s="230"/>
      <c r="E35" s="221" t="s">
        <v>79</v>
      </c>
      <c r="F35" s="223">
        <f>+SUMIF($B$7:$B$30,F32,$AN$7:$AN$30)</f>
        <v>108044200</v>
      </c>
      <c r="G35" s="230"/>
      <c r="H35" s="221" t="s">
        <v>79</v>
      </c>
      <c r="I35" s="223">
        <f>+SUMIF($B$7:$B$30,I32,$AN$7:$AN$30)</f>
        <v>128079328</v>
      </c>
      <c r="J35" s="230"/>
      <c r="K35" s="221" t="s">
        <v>79</v>
      </c>
      <c r="L35" s="223">
        <f>+SUMIF($B$7:$B$30,L32,$AN$7:$AN$30)</f>
        <v>156244439.19999999</v>
      </c>
      <c r="M35" s="234"/>
      <c r="N35" s="221" t="s">
        <v>79</v>
      </c>
      <c r="O35" s="224">
        <f>+SUMIF($B$7:$B$30,O32,$AN$7:$AN$30)</f>
        <v>127983220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5.75" thickBot="1" x14ac:dyDescent="0.3">
      <c r="A36" s="216"/>
      <c r="B36" s="225" t="s">
        <v>78</v>
      </c>
      <c r="C36" s="226">
        <f>+C34-C35</f>
        <v>1173219696</v>
      </c>
      <c r="D36" s="231"/>
      <c r="E36" s="227" t="s">
        <v>78</v>
      </c>
      <c r="F36" s="226">
        <f>+F34-F35</f>
        <v>1242508300</v>
      </c>
      <c r="G36" s="231"/>
      <c r="H36" s="227" t="s">
        <v>78</v>
      </c>
      <c r="I36" s="226">
        <f>+I34-I35</f>
        <v>1472912272</v>
      </c>
      <c r="J36" s="231"/>
      <c r="K36" s="227" t="s">
        <v>78</v>
      </c>
      <c r="L36" s="226">
        <f>+L34-L35</f>
        <v>1796811050.8</v>
      </c>
      <c r="M36" s="235"/>
      <c r="N36" s="227" t="s">
        <v>78</v>
      </c>
      <c r="O36" s="228">
        <f>+O34-O35</f>
        <v>1471807030</v>
      </c>
    </row>
    <row r="37" spans="1:39" ht="15.75" thickTop="1" x14ac:dyDescent="0.25">
      <c r="B37" s="236"/>
      <c r="O37" s="237"/>
    </row>
    <row r="38" spans="1:39" s="238" customFormat="1" ht="20.100000000000001" customHeight="1" x14ac:dyDescent="0.25">
      <c r="B38" s="239"/>
      <c r="E38" s="329" t="s">
        <v>169</v>
      </c>
      <c r="F38" s="329"/>
      <c r="G38" s="330">
        <f>+C34+F34+I34+L34+O34</f>
        <v>7779628640</v>
      </c>
      <c r="H38" s="330"/>
      <c r="O38" s="240"/>
    </row>
    <row r="39" spans="1:39" s="238" customFormat="1" ht="20.100000000000001" customHeight="1" x14ac:dyDescent="0.25">
      <c r="B39" s="239"/>
      <c r="E39" s="329" t="s">
        <v>170</v>
      </c>
      <c r="F39" s="329"/>
      <c r="G39" s="330">
        <f>+C35+F35+I35+L35+O35</f>
        <v>622370291.20000005</v>
      </c>
      <c r="H39" s="330"/>
      <c r="O39" s="240"/>
    </row>
    <row r="40" spans="1:39" s="238" customFormat="1" ht="20.100000000000001" customHeight="1" thickBot="1" x14ac:dyDescent="0.3">
      <c r="B40" s="241"/>
      <c r="C40" s="242"/>
      <c r="D40" s="242"/>
      <c r="E40" s="331" t="s">
        <v>171</v>
      </c>
      <c r="F40" s="331"/>
      <c r="G40" s="332">
        <f>+C36+F36+I36+L36+O36</f>
        <v>7157258348.8000002</v>
      </c>
      <c r="H40" s="332"/>
      <c r="I40" s="242"/>
      <c r="J40" s="242"/>
      <c r="K40" s="242"/>
      <c r="L40" s="242"/>
      <c r="M40" s="242"/>
      <c r="N40" s="242"/>
      <c r="O40" s="243"/>
    </row>
    <row r="41" spans="1:39" ht="15.75" thickTop="1" x14ac:dyDescent="0.25"/>
  </sheetData>
  <mergeCells count="10">
    <mergeCell ref="E39:F39"/>
    <mergeCell ref="G39:H39"/>
    <mergeCell ref="E40:F40"/>
    <mergeCell ref="G40:H40"/>
    <mergeCell ref="B2:AL2"/>
    <mergeCell ref="B4:V4"/>
    <mergeCell ref="W4:AM4"/>
    <mergeCell ref="B29:O30"/>
    <mergeCell ref="E38:F38"/>
    <mergeCell ref="G38:H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D0F0-B722-441C-99DE-D9E8EF29BF64}">
  <dimension ref="A1:M455"/>
  <sheetViews>
    <sheetView topLeftCell="A267" zoomScaleNormal="100" workbookViewId="0">
      <selection activeCell="F380" sqref="F380"/>
    </sheetView>
  </sheetViews>
  <sheetFormatPr defaultColWidth="9.140625" defaultRowHeight="16.5" x14ac:dyDescent="0.25"/>
  <cols>
    <col min="1" max="1" width="10.28515625" style="16" customWidth="1"/>
    <col min="2" max="2" width="16.42578125" style="16" customWidth="1"/>
    <col min="3" max="3" width="23" style="16" customWidth="1"/>
    <col min="4" max="4" width="13.7109375" style="18" customWidth="1"/>
    <col min="5" max="5" width="14.140625" style="16" customWidth="1"/>
    <col min="6" max="6" width="19.140625" style="16" bestFit="1" customWidth="1"/>
    <col min="7" max="7" width="17.28515625" style="16" customWidth="1"/>
    <col min="8" max="8" width="17.85546875" style="16" bestFit="1" customWidth="1"/>
    <col min="9" max="9" width="20.85546875" style="16" customWidth="1"/>
    <col min="10" max="10" width="19.28515625" style="16" bestFit="1" customWidth="1"/>
    <col min="11" max="11" width="30.140625" style="16" customWidth="1"/>
    <col min="12" max="12" width="25" style="16" bestFit="1" customWidth="1"/>
    <col min="13" max="13" width="19.140625" style="16" bestFit="1" customWidth="1"/>
    <col min="14" max="16384" width="9.140625" style="16"/>
  </cols>
  <sheetData>
    <row r="1" spans="1:10" ht="18" customHeight="1" x14ac:dyDescent="0.3">
      <c r="A1" s="341" t="s">
        <v>99</v>
      </c>
      <c r="B1" s="341"/>
      <c r="C1" s="341"/>
      <c r="D1" s="341"/>
      <c r="E1" s="341"/>
      <c r="F1" s="341"/>
      <c r="G1" s="341"/>
      <c r="H1" s="341"/>
      <c r="I1" s="341"/>
    </row>
    <row r="2" spans="1:10" ht="18" customHeight="1" x14ac:dyDescent="0.25">
      <c r="A2" s="342" t="s">
        <v>100</v>
      </c>
      <c r="B2" s="342"/>
      <c r="C2" s="342"/>
      <c r="D2" s="342"/>
      <c r="E2" s="342"/>
      <c r="F2" s="342"/>
      <c r="G2" s="342"/>
      <c r="H2" s="342"/>
      <c r="I2" s="342"/>
    </row>
    <row r="3" spans="1:10" x14ac:dyDescent="0.25">
      <c r="A3" s="17"/>
    </row>
    <row r="4" spans="1:10" ht="21.75" customHeight="1" x14ac:dyDescent="0.25">
      <c r="A4" s="19" t="s">
        <v>101</v>
      </c>
      <c r="B4" s="20" t="s">
        <v>102</v>
      </c>
      <c r="C4" s="20" t="s">
        <v>103</v>
      </c>
      <c r="D4" s="21" t="s">
        <v>104</v>
      </c>
      <c r="E4" s="20" t="s">
        <v>105</v>
      </c>
      <c r="F4" s="20" t="s">
        <v>106</v>
      </c>
      <c r="G4" s="20" t="s">
        <v>107</v>
      </c>
      <c r="H4" s="20" t="s">
        <v>108</v>
      </c>
      <c r="I4" s="20" t="s">
        <v>109</v>
      </c>
    </row>
    <row r="5" spans="1:10" x14ac:dyDescent="0.25">
      <c r="A5" s="343" t="s">
        <v>2</v>
      </c>
      <c r="B5" s="22">
        <v>45778</v>
      </c>
      <c r="C5" s="23" t="s">
        <v>110</v>
      </c>
      <c r="D5" s="24">
        <v>30285</v>
      </c>
      <c r="E5" s="24">
        <v>18650</v>
      </c>
      <c r="F5" s="25">
        <f>D5*E5</f>
        <v>564815250</v>
      </c>
      <c r="G5" s="25">
        <f>F5</f>
        <v>564815250</v>
      </c>
      <c r="H5" s="25">
        <f>F5-G5</f>
        <v>0</v>
      </c>
      <c r="I5" s="26" t="s">
        <v>111</v>
      </c>
    </row>
    <row r="6" spans="1:10" x14ac:dyDescent="0.25">
      <c r="A6" s="344"/>
      <c r="B6" s="27"/>
      <c r="C6" s="28"/>
      <c r="D6" s="29"/>
      <c r="E6" s="29"/>
      <c r="F6" s="29"/>
      <c r="G6" s="28"/>
      <c r="H6" s="25">
        <f>F6-G6</f>
        <v>0</v>
      </c>
      <c r="I6" s="28"/>
    </row>
    <row r="7" spans="1:10" x14ac:dyDescent="0.25">
      <c r="A7" s="30" t="s">
        <v>112</v>
      </c>
      <c r="B7" s="31"/>
      <c r="C7" s="32"/>
      <c r="D7" s="33">
        <f>D5+D6</f>
        <v>30285</v>
      </c>
      <c r="E7" s="33"/>
      <c r="F7" s="33"/>
      <c r="G7" s="33"/>
      <c r="H7" s="33">
        <f>SUM(H5:H6)</f>
        <v>0</v>
      </c>
      <c r="I7" s="34"/>
    </row>
    <row r="8" spans="1:10" x14ac:dyDescent="0.25">
      <c r="A8" s="343" t="s">
        <v>0</v>
      </c>
      <c r="B8" s="27"/>
      <c r="C8" s="23"/>
      <c r="D8" s="24"/>
      <c r="E8" s="24"/>
      <c r="F8" s="25"/>
      <c r="G8" s="25"/>
      <c r="H8" s="25">
        <f>F8-G8</f>
        <v>0</v>
      </c>
      <c r="I8" s="26"/>
    </row>
    <row r="9" spans="1:10" x14ac:dyDescent="0.25">
      <c r="A9" s="345"/>
      <c r="B9" s="22"/>
      <c r="C9" s="23"/>
      <c r="D9" s="35"/>
      <c r="E9" s="35"/>
      <c r="F9" s="35"/>
      <c r="G9" s="26"/>
      <c r="H9" s="25">
        <f>F9-G9</f>
        <v>0</v>
      </c>
      <c r="I9" s="26"/>
      <c r="J9" s="36"/>
    </row>
    <row r="10" spans="1:10" x14ac:dyDescent="0.25">
      <c r="A10" s="345"/>
      <c r="B10" s="37"/>
      <c r="C10" s="38"/>
      <c r="D10" s="29"/>
      <c r="E10" s="29"/>
      <c r="F10" s="29"/>
      <c r="G10" s="28"/>
      <c r="H10" s="39">
        <f>F10-G10</f>
        <v>0</v>
      </c>
      <c r="I10" s="28"/>
    </row>
    <row r="11" spans="1:10" x14ac:dyDescent="0.25">
      <c r="A11" s="344"/>
      <c r="B11" s="40"/>
      <c r="C11" s="41"/>
      <c r="D11" s="42"/>
      <c r="E11" s="42"/>
      <c r="F11" s="42"/>
      <c r="G11" s="43"/>
      <c r="H11" s="44">
        <f>F11-G11</f>
        <v>0</v>
      </c>
      <c r="I11" s="28"/>
    </row>
    <row r="12" spans="1:10" x14ac:dyDescent="0.25">
      <c r="A12" s="30" t="s">
        <v>112</v>
      </c>
      <c r="B12" s="31"/>
      <c r="C12" s="32"/>
      <c r="D12" s="33"/>
      <c r="E12" s="33"/>
      <c r="F12" s="45"/>
      <c r="G12" s="45"/>
      <c r="H12" s="45">
        <f>SUM(H8:H11)</f>
        <v>0</v>
      </c>
      <c r="I12" s="34"/>
    </row>
    <row r="13" spans="1:10" x14ac:dyDescent="0.25">
      <c r="A13" s="339" t="s">
        <v>11</v>
      </c>
      <c r="B13" s="22" t="s">
        <v>113</v>
      </c>
      <c r="C13" s="23" t="s">
        <v>114</v>
      </c>
      <c r="D13" s="35">
        <v>20070</v>
      </c>
      <c r="E13" s="35">
        <f>19240-100</f>
        <v>19140</v>
      </c>
      <c r="F13" s="46">
        <f>D13*E13</f>
        <v>384139800</v>
      </c>
      <c r="G13" s="46"/>
      <c r="H13" s="46">
        <f>F13-G13</f>
        <v>384139800</v>
      </c>
      <c r="I13" s="26" t="s">
        <v>111</v>
      </c>
      <c r="J13" s="18"/>
    </row>
    <row r="14" spans="1:10" x14ac:dyDescent="0.25">
      <c r="A14" s="346"/>
      <c r="B14" s="37"/>
      <c r="C14" s="28"/>
      <c r="D14" s="29"/>
      <c r="E14" s="29"/>
      <c r="F14" s="48"/>
      <c r="G14" s="28"/>
      <c r="H14" s="48">
        <f>F14-G14</f>
        <v>0</v>
      </c>
      <c r="I14" s="28"/>
    </row>
    <row r="15" spans="1:10" x14ac:dyDescent="0.25">
      <c r="A15" s="347"/>
      <c r="B15" s="40"/>
      <c r="C15" s="28"/>
      <c r="D15" s="49"/>
      <c r="E15" s="42"/>
      <c r="F15" s="44"/>
      <c r="G15" s="43"/>
      <c r="H15" s="48">
        <f>F15-G15</f>
        <v>0</v>
      </c>
      <c r="I15" s="43"/>
    </row>
    <row r="16" spans="1:10" x14ac:dyDescent="0.25">
      <c r="A16" s="30" t="s">
        <v>112</v>
      </c>
      <c r="B16" s="50"/>
      <c r="C16" s="51"/>
      <c r="D16" s="33"/>
      <c r="E16" s="32"/>
      <c r="F16" s="45"/>
      <c r="G16" s="45"/>
      <c r="H16" s="45">
        <f>SUM(H13:H15)</f>
        <v>384139800</v>
      </c>
      <c r="I16" s="34"/>
    </row>
    <row r="17" spans="1:10" x14ac:dyDescent="0.25">
      <c r="A17" s="339" t="s">
        <v>1</v>
      </c>
      <c r="B17" s="27"/>
      <c r="C17" s="23"/>
      <c r="D17" s="24"/>
      <c r="E17" s="24"/>
      <c r="F17" s="24"/>
      <c r="G17" s="24"/>
      <c r="H17" s="24">
        <f>F17-G17</f>
        <v>0</v>
      </c>
      <c r="I17" s="26"/>
    </row>
    <row r="18" spans="1:10" x14ac:dyDescent="0.25">
      <c r="A18" s="340"/>
      <c r="B18" s="37"/>
      <c r="C18" s="52"/>
      <c r="D18" s="29"/>
      <c r="E18" s="29"/>
      <c r="F18" s="29">
        <f>D18*E18</f>
        <v>0</v>
      </c>
      <c r="G18" s="53"/>
      <c r="H18" s="24">
        <f>F18-G18</f>
        <v>0</v>
      </c>
      <c r="I18" s="26"/>
      <c r="J18" s="36">
        <f>+H18+H13+H5</f>
        <v>384139800</v>
      </c>
    </row>
    <row r="19" spans="1:10" x14ac:dyDescent="0.25">
      <c r="A19" s="47"/>
      <c r="B19" s="40"/>
      <c r="C19" s="43"/>
      <c r="D19" s="42"/>
      <c r="E19" s="42"/>
      <c r="F19" s="42">
        <f>D19*E19</f>
        <v>0</v>
      </c>
      <c r="G19" s="54"/>
      <c r="H19" s="24">
        <f>F19-G19</f>
        <v>0</v>
      </c>
      <c r="I19" s="52"/>
    </row>
    <row r="20" spans="1:10" x14ac:dyDescent="0.25">
      <c r="A20" s="30" t="s">
        <v>112</v>
      </c>
      <c r="B20" s="51"/>
      <c r="C20" s="51"/>
      <c r="D20" s="33">
        <f>SUM(D17:D19)</f>
        <v>0</v>
      </c>
      <c r="E20" s="32"/>
      <c r="F20" s="45">
        <f>SUM(F17:F19)</f>
        <v>0</v>
      </c>
      <c r="G20" s="45">
        <f>SUM(G17:G19)</f>
        <v>0</v>
      </c>
      <c r="H20" s="45">
        <f>SUM(H17:H19)</f>
        <v>0</v>
      </c>
      <c r="I20" s="34"/>
    </row>
    <row r="21" spans="1:10" x14ac:dyDescent="0.25">
      <c r="A21" s="55" t="s">
        <v>115</v>
      </c>
      <c r="B21" s="56"/>
      <c r="C21" s="56"/>
      <c r="D21" s="57">
        <f>+D7+D12+D16+D20</f>
        <v>30285</v>
      </c>
      <c r="E21" s="55"/>
      <c r="F21" s="58">
        <f>+F7+F12+F16+F20</f>
        <v>0</v>
      </c>
      <c r="G21" s="58">
        <f>+G7+G12+G16+G20</f>
        <v>0</v>
      </c>
      <c r="H21" s="58">
        <f>+H7+H12+H16+H20</f>
        <v>384139800</v>
      </c>
      <c r="I21" s="56"/>
    </row>
    <row r="26" spans="1:10" ht="18.75" x14ac:dyDescent="0.3">
      <c r="A26" s="341" t="s">
        <v>99</v>
      </c>
      <c r="B26" s="341"/>
      <c r="C26" s="341"/>
      <c r="D26" s="341"/>
      <c r="E26" s="341"/>
      <c r="F26" s="341"/>
      <c r="G26" s="341"/>
      <c r="H26" s="341"/>
      <c r="I26" s="341"/>
    </row>
    <row r="27" spans="1:10" x14ac:dyDescent="0.25">
      <c r="A27" s="342" t="s">
        <v>116</v>
      </c>
      <c r="B27" s="342"/>
      <c r="C27" s="342"/>
      <c r="D27" s="342"/>
      <c r="E27" s="342"/>
      <c r="F27" s="342"/>
      <c r="G27" s="342"/>
      <c r="H27" s="342"/>
      <c r="I27" s="342"/>
    </row>
    <row r="28" spans="1:10" x14ac:dyDescent="0.25">
      <c r="A28" s="17"/>
    </row>
    <row r="29" spans="1:10" x14ac:dyDescent="0.25">
      <c r="A29" s="19" t="s">
        <v>101</v>
      </c>
      <c r="B29" s="20" t="s">
        <v>102</v>
      </c>
      <c r="C29" s="20" t="s">
        <v>103</v>
      </c>
      <c r="D29" s="21" t="s">
        <v>104</v>
      </c>
      <c r="E29" s="20" t="s">
        <v>105</v>
      </c>
      <c r="F29" s="20" t="s">
        <v>106</v>
      </c>
      <c r="G29" s="20" t="s">
        <v>107</v>
      </c>
      <c r="H29" s="20" t="s">
        <v>108</v>
      </c>
      <c r="I29" s="20" t="s">
        <v>109</v>
      </c>
    </row>
    <row r="30" spans="1:10" x14ac:dyDescent="0.25">
      <c r="A30" s="343" t="s">
        <v>2</v>
      </c>
      <c r="B30" s="22">
        <v>45659</v>
      </c>
      <c r="C30" s="23" t="s">
        <v>114</v>
      </c>
      <c r="D30" s="24">
        <v>24080</v>
      </c>
      <c r="E30" s="24">
        <v>19190</v>
      </c>
      <c r="F30" s="25">
        <f>D30*E30</f>
        <v>462095200</v>
      </c>
      <c r="G30" s="25">
        <f>F30</f>
        <v>462095200</v>
      </c>
      <c r="H30" s="25">
        <f>F30-G30</f>
        <v>0</v>
      </c>
      <c r="I30" s="26" t="s">
        <v>111</v>
      </c>
    </row>
    <row r="31" spans="1:10" x14ac:dyDescent="0.25">
      <c r="A31" s="344"/>
      <c r="B31" s="27"/>
      <c r="C31" s="28"/>
      <c r="D31" s="29"/>
      <c r="E31" s="29"/>
      <c r="F31" s="29"/>
      <c r="G31" s="28"/>
      <c r="H31" s="25">
        <f>F31-G31</f>
        <v>0</v>
      </c>
      <c r="I31" s="28"/>
    </row>
    <row r="32" spans="1:10" x14ac:dyDescent="0.25">
      <c r="A32" s="30" t="s">
        <v>112</v>
      </c>
      <c r="B32" s="31"/>
      <c r="C32" s="32"/>
      <c r="D32" s="33"/>
      <c r="E32" s="33"/>
      <c r="F32" s="33"/>
      <c r="G32" s="33"/>
      <c r="H32" s="33">
        <f>SUM(H30:H31)</f>
        <v>0</v>
      </c>
      <c r="I32" s="34"/>
    </row>
    <row r="33" spans="1:10" x14ac:dyDescent="0.25">
      <c r="A33" s="343" t="s">
        <v>0</v>
      </c>
      <c r="B33" s="27" t="s">
        <v>117</v>
      </c>
      <c r="C33" s="23" t="s">
        <v>118</v>
      </c>
      <c r="D33" s="24">
        <v>30050</v>
      </c>
      <c r="E33" s="24">
        <f>19070-1050</f>
        <v>18020</v>
      </c>
      <c r="F33" s="25">
        <f>D33*E33</f>
        <v>541501000</v>
      </c>
      <c r="G33" s="25">
        <f>F33</f>
        <v>541501000</v>
      </c>
      <c r="H33" s="25">
        <f>F33-G33</f>
        <v>0</v>
      </c>
      <c r="I33" s="26" t="s">
        <v>119</v>
      </c>
    </row>
    <row r="34" spans="1:10" x14ac:dyDescent="0.25">
      <c r="A34" s="345"/>
      <c r="B34" s="22"/>
      <c r="C34" s="23"/>
      <c r="D34" s="35"/>
      <c r="E34" s="35"/>
      <c r="F34" s="35"/>
      <c r="G34" s="26"/>
      <c r="H34" s="25">
        <f>F34-G34</f>
        <v>0</v>
      </c>
      <c r="I34" s="26"/>
    </row>
    <row r="35" spans="1:10" x14ac:dyDescent="0.25">
      <c r="A35" s="345"/>
      <c r="B35" s="37"/>
      <c r="C35" s="38"/>
      <c r="D35" s="29"/>
      <c r="E35" s="29"/>
      <c r="F35" s="29"/>
      <c r="G35" s="28"/>
      <c r="H35" s="39">
        <f>F35-G35</f>
        <v>0</v>
      </c>
      <c r="I35" s="28"/>
    </row>
    <row r="36" spans="1:10" x14ac:dyDescent="0.25">
      <c r="A36" s="344"/>
      <c r="B36" s="40"/>
      <c r="C36" s="41"/>
      <c r="D36" s="42"/>
      <c r="E36" s="42"/>
      <c r="F36" s="42"/>
      <c r="G36" s="43"/>
      <c r="H36" s="44">
        <f>F36-G36</f>
        <v>0</v>
      </c>
      <c r="I36" s="28"/>
    </row>
    <row r="37" spans="1:10" x14ac:dyDescent="0.25">
      <c r="A37" s="30" t="s">
        <v>112</v>
      </c>
      <c r="B37" s="31"/>
      <c r="C37" s="32"/>
      <c r="D37" s="33"/>
      <c r="E37" s="33"/>
      <c r="F37" s="45"/>
      <c r="G37" s="45"/>
      <c r="H37" s="45">
        <f>SUM(H33:H36)</f>
        <v>0</v>
      </c>
      <c r="I37" s="34"/>
    </row>
    <row r="38" spans="1:10" x14ac:dyDescent="0.25">
      <c r="A38" s="339" t="s">
        <v>11</v>
      </c>
      <c r="B38" s="22" t="s">
        <v>120</v>
      </c>
      <c r="C38" s="23" t="s">
        <v>114</v>
      </c>
      <c r="D38" s="35">
        <v>24080</v>
      </c>
      <c r="E38" s="35">
        <f>19070-500</f>
        <v>18570</v>
      </c>
      <c r="F38" s="46">
        <f>D38*E38</f>
        <v>447165600</v>
      </c>
      <c r="G38" s="46">
        <f>F38</f>
        <v>447165600</v>
      </c>
      <c r="H38" s="46">
        <f>F38-G38</f>
        <v>0</v>
      </c>
      <c r="I38" s="26" t="s">
        <v>111</v>
      </c>
      <c r="J38" s="36"/>
    </row>
    <row r="39" spans="1:10" x14ac:dyDescent="0.25">
      <c r="A39" s="346"/>
      <c r="B39" s="37"/>
      <c r="C39" s="28"/>
      <c r="D39" s="29"/>
      <c r="E39" s="29"/>
      <c r="F39" s="48"/>
      <c r="G39" s="28"/>
      <c r="H39" s="48">
        <f>F39-G39</f>
        <v>0</v>
      </c>
      <c r="I39" s="28"/>
    </row>
    <row r="40" spans="1:10" x14ac:dyDescent="0.25">
      <c r="A40" s="347"/>
      <c r="B40" s="40"/>
      <c r="C40" s="28"/>
      <c r="D40" s="49"/>
      <c r="E40" s="42"/>
      <c r="F40" s="44"/>
      <c r="G40" s="43"/>
      <c r="H40" s="48">
        <f>F40-G40</f>
        <v>0</v>
      </c>
      <c r="I40" s="43"/>
    </row>
    <row r="41" spans="1:10" x14ac:dyDescent="0.25">
      <c r="A41" s="30" t="s">
        <v>112</v>
      </c>
      <c r="B41" s="50"/>
      <c r="C41" s="51"/>
      <c r="D41" s="33"/>
      <c r="E41" s="32"/>
      <c r="F41" s="45"/>
      <c r="G41" s="45"/>
      <c r="H41" s="45">
        <f>SUM(H38:H40)</f>
        <v>0</v>
      </c>
      <c r="I41" s="34"/>
    </row>
    <row r="42" spans="1:10" x14ac:dyDescent="0.25">
      <c r="A42" s="339" t="s">
        <v>1</v>
      </c>
      <c r="B42" s="27"/>
      <c r="C42" s="23"/>
      <c r="D42" s="24"/>
      <c r="E42" s="24"/>
      <c r="F42" s="24"/>
      <c r="G42" s="24"/>
      <c r="H42" s="24">
        <f>F42-G42</f>
        <v>0</v>
      </c>
      <c r="I42" s="26"/>
    </row>
    <row r="43" spans="1:10" x14ac:dyDescent="0.25">
      <c r="A43" s="340"/>
      <c r="B43" s="37"/>
      <c r="C43" s="52"/>
      <c r="D43" s="29"/>
      <c r="E43" s="29"/>
      <c r="F43" s="29">
        <f>D43*E43</f>
        <v>0</v>
      </c>
      <c r="G43" s="53"/>
      <c r="H43" s="24">
        <f>F43-G43</f>
        <v>0</v>
      </c>
      <c r="I43" s="26"/>
    </row>
    <row r="44" spans="1:10" x14ac:dyDescent="0.25">
      <c r="A44" s="47"/>
      <c r="B44" s="40"/>
      <c r="C44" s="43"/>
      <c r="D44" s="42"/>
      <c r="E44" s="42"/>
      <c r="F44" s="42">
        <f>D44*E44</f>
        <v>0</v>
      </c>
      <c r="G44" s="54"/>
      <c r="H44" s="24">
        <f>F44-G44</f>
        <v>0</v>
      </c>
      <c r="I44" s="52"/>
    </row>
    <row r="45" spans="1:10" x14ac:dyDescent="0.25">
      <c r="A45" s="30" t="s">
        <v>112</v>
      </c>
      <c r="B45" s="51"/>
      <c r="C45" s="51"/>
      <c r="D45" s="33">
        <f>SUM(D42:D44)</f>
        <v>0</v>
      </c>
      <c r="E45" s="32"/>
      <c r="F45" s="45">
        <f>SUM(F42:F44)</f>
        <v>0</v>
      </c>
      <c r="G45" s="45">
        <f>SUM(G42:G44)</f>
        <v>0</v>
      </c>
      <c r="H45" s="45">
        <f>SUM(H42:H44)</f>
        <v>0</v>
      </c>
      <c r="I45" s="34"/>
    </row>
    <row r="46" spans="1:10" x14ac:dyDescent="0.25">
      <c r="A46" s="55" t="s">
        <v>115</v>
      </c>
      <c r="B46" s="56"/>
      <c r="C46" s="56"/>
      <c r="D46" s="57">
        <f>+D32+D37+D41+D45</f>
        <v>0</v>
      </c>
      <c r="E46" s="55"/>
      <c r="F46" s="58">
        <f>+F32+F37+F41+F45</f>
        <v>0</v>
      </c>
      <c r="G46" s="58">
        <f>+G32+G37+G41+G45</f>
        <v>0</v>
      </c>
      <c r="H46" s="58">
        <f>+H32+H37+H41+H45</f>
        <v>0</v>
      </c>
      <c r="I46" s="56"/>
      <c r="J46" s="36">
        <f>+H46+H7</f>
        <v>0</v>
      </c>
    </row>
    <row r="52" spans="1:10" ht="18.75" x14ac:dyDescent="0.3">
      <c r="A52" s="341" t="s">
        <v>99</v>
      </c>
      <c r="B52" s="341"/>
      <c r="C52" s="341"/>
      <c r="D52" s="341"/>
      <c r="E52" s="341"/>
      <c r="F52" s="341"/>
      <c r="G52" s="341"/>
      <c r="H52" s="341"/>
      <c r="I52" s="341"/>
    </row>
    <row r="53" spans="1:10" x14ac:dyDescent="0.25">
      <c r="A53" s="342" t="s">
        <v>121</v>
      </c>
      <c r="B53" s="342"/>
      <c r="C53" s="342"/>
      <c r="D53" s="342"/>
      <c r="E53" s="342"/>
      <c r="F53" s="342"/>
      <c r="G53" s="342"/>
      <c r="H53" s="342"/>
      <c r="I53" s="342"/>
    </row>
    <row r="54" spans="1:10" x14ac:dyDescent="0.25">
      <c r="A54" s="17"/>
    </row>
    <row r="55" spans="1:10" x14ac:dyDescent="0.25">
      <c r="A55" s="19" t="s">
        <v>101</v>
      </c>
      <c r="B55" s="20" t="s">
        <v>102</v>
      </c>
      <c r="C55" s="20" t="s">
        <v>103</v>
      </c>
      <c r="D55" s="21" t="s">
        <v>104</v>
      </c>
      <c r="E55" s="20" t="s">
        <v>105</v>
      </c>
      <c r="F55" s="20" t="s">
        <v>106</v>
      </c>
      <c r="G55" s="20" t="s">
        <v>107</v>
      </c>
      <c r="H55" s="20" t="s">
        <v>108</v>
      </c>
      <c r="I55" s="20" t="s">
        <v>109</v>
      </c>
    </row>
    <row r="56" spans="1:10" x14ac:dyDescent="0.25">
      <c r="A56" s="343" t="s">
        <v>2</v>
      </c>
      <c r="B56" s="22" t="s">
        <v>122</v>
      </c>
      <c r="C56" s="23" t="s">
        <v>123</v>
      </c>
      <c r="D56" s="24">
        <v>12000</v>
      </c>
      <c r="E56" s="24">
        <v>17790</v>
      </c>
      <c r="F56" s="25">
        <f>D56*E56</f>
        <v>213480000</v>
      </c>
      <c r="G56" s="25">
        <f>F56</f>
        <v>213480000</v>
      </c>
      <c r="H56" s="25">
        <f>F56-G56</f>
        <v>0</v>
      </c>
      <c r="I56" s="26" t="s">
        <v>111</v>
      </c>
      <c r="J56" s="16" t="s">
        <v>124</v>
      </c>
    </row>
    <row r="57" spans="1:10" x14ac:dyDescent="0.25">
      <c r="A57" s="345"/>
      <c r="B57" s="27" t="s">
        <v>125</v>
      </c>
      <c r="C57" s="28" t="s">
        <v>89</v>
      </c>
      <c r="D57" s="29">
        <v>25000</v>
      </c>
      <c r="E57" s="29">
        <f>17890-350</f>
        <v>17540</v>
      </c>
      <c r="F57" s="29">
        <f>D57*E57</f>
        <v>438500000</v>
      </c>
      <c r="G57" s="48">
        <f>F57</f>
        <v>438500000</v>
      </c>
      <c r="H57" s="25">
        <f>F57-G57</f>
        <v>0</v>
      </c>
      <c r="I57" s="26" t="s">
        <v>111</v>
      </c>
    </row>
    <row r="58" spans="1:10" x14ac:dyDescent="0.25">
      <c r="A58" s="344"/>
      <c r="B58" s="27"/>
      <c r="C58" s="28"/>
      <c r="D58" s="42"/>
      <c r="E58" s="42"/>
      <c r="F58" s="42"/>
      <c r="G58" s="43"/>
      <c r="H58" s="25">
        <f>F58-G58</f>
        <v>0</v>
      </c>
      <c r="I58" s="52"/>
    </row>
    <row r="59" spans="1:10" x14ac:dyDescent="0.25">
      <c r="A59" s="30" t="s">
        <v>112</v>
      </c>
      <c r="B59" s="31"/>
      <c r="C59" s="32"/>
      <c r="D59" s="33">
        <f>SUM(D56:D57)</f>
        <v>37000</v>
      </c>
      <c r="E59" s="33"/>
      <c r="F59" s="33">
        <f>SUM(F56:F58)</f>
        <v>651980000</v>
      </c>
      <c r="G59" s="33">
        <f>SUM(G56:G57)</f>
        <v>651980000</v>
      </c>
      <c r="H59" s="33">
        <f>SUM(H56:H58)</f>
        <v>0</v>
      </c>
      <c r="I59" s="34"/>
    </row>
    <row r="60" spans="1:10" x14ac:dyDescent="0.25">
      <c r="A60" s="343" t="s">
        <v>0</v>
      </c>
      <c r="B60" s="27" t="s">
        <v>126</v>
      </c>
      <c r="C60" s="23" t="s">
        <v>127</v>
      </c>
      <c r="D60" s="24">
        <v>10000</v>
      </c>
      <c r="E60" s="24">
        <f>18240-700</f>
        <v>17540</v>
      </c>
      <c r="F60" s="25">
        <f>D60*E60</f>
        <v>175400000</v>
      </c>
      <c r="G60" s="25">
        <f>F60</f>
        <v>175400000</v>
      </c>
      <c r="H60" s="25">
        <f>F60-G60</f>
        <v>0</v>
      </c>
      <c r="I60" s="26" t="s">
        <v>128</v>
      </c>
    </row>
    <row r="61" spans="1:10" x14ac:dyDescent="0.25">
      <c r="A61" s="345"/>
      <c r="B61" s="22" t="s">
        <v>129</v>
      </c>
      <c r="C61" s="23" t="s">
        <v>130</v>
      </c>
      <c r="D61" s="35">
        <v>26000</v>
      </c>
      <c r="E61" s="35">
        <f>18210-750</f>
        <v>17460</v>
      </c>
      <c r="F61" s="35">
        <f>D61*E61</f>
        <v>453960000</v>
      </c>
      <c r="G61" s="46">
        <f>F61</f>
        <v>453960000</v>
      </c>
      <c r="H61" s="25">
        <f>F61-G61</f>
        <v>0</v>
      </c>
      <c r="I61" s="26" t="s">
        <v>111</v>
      </c>
    </row>
    <row r="62" spans="1:10" x14ac:dyDescent="0.25">
      <c r="A62" s="345"/>
      <c r="B62" s="37"/>
      <c r="C62" s="38"/>
      <c r="D62" s="29"/>
      <c r="E62" s="29"/>
      <c r="F62" s="29">
        <f>D62*E62</f>
        <v>0</v>
      </c>
      <c r="G62" s="28"/>
      <c r="H62" s="39">
        <f>F62-G62</f>
        <v>0</v>
      </c>
      <c r="I62" s="28"/>
    </row>
    <row r="63" spans="1:10" x14ac:dyDescent="0.25">
      <c r="A63" s="344"/>
      <c r="B63" s="40"/>
      <c r="C63" s="41"/>
      <c r="D63" s="42"/>
      <c r="E63" s="42"/>
      <c r="F63" s="42">
        <f>D63*E63</f>
        <v>0</v>
      </c>
      <c r="G63" s="43"/>
      <c r="H63" s="44">
        <f>F63-G63</f>
        <v>0</v>
      </c>
      <c r="I63" s="28"/>
    </row>
    <row r="64" spans="1:10" x14ac:dyDescent="0.25">
      <c r="A64" s="30" t="s">
        <v>112</v>
      </c>
      <c r="B64" s="31"/>
      <c r="C64" s="32"/>
      <c r="D64" s="33">
        <f>SUM(D60:D62)</f>
        <v>36000</v>
      </c>
      <c r="E64" s="33"/>
      <c r="F64" s="45">
        <f>SUM(F60:F63)</f>
        <v>629360000</v>
      </c>
      <c r="G64" s="45">
        <f>SUM(G60:G63)</f>
        <v>629360000</v>
      </c>
      <c r="H64" s="45">
        <f>SUM(H60:H63)</f>
        <v>0</v>
      </c>
      <c r="I64" s="34"/>
    </row>
    <row r="65" spans="1:9" x14ac:dyDescent="0.25">
      <c r="A65" s="339" t="s">
        <v>11</v>
      </c>
      <c r="B65" s="22"/>
      <c r="C65" s="23"/>
      <c r="D65" s="35"/>
      <c r="E65" s="35"/>
      <c r="F65" s="46"/>
      <c r="G65" s="46">
        <f>F65</f>
        <v>0</v>
      </c>
      <c r="H65" s="46">
        <f>F65-G65</f>
        <v>0</v>
      </c>
      <c r="I65" s="26"/>
    </row>
    <row r="66" spans="1:9" x14ac:dyDescent="0.25">
      <c r="A66" s="346"/>
      <c r="B66" s="37"/>
      <c r="C66" s="28"/>
      <c r="D66" s="29"/>
      <c r="E66" s="29"/>
      <c r="F66" s="48"/>
      <c r="G66" s="28"/>
      <c r="H66" s="48">
        <f>F66-G66</f>
        <v>0</v>
      </c>
      <c r="I66" s="28"/>
    </row>
    <row r="67" spans="1:9" x14ac:dyDescent="0.25">
      <c r="A67" s="347"/>
      <c r="B67" s="40"/>
      <c r="C67" s="28"/>
      <c r="D67" s="49"/>
      <c r="E67" s="42"/>
      <c r="F67" s="44"/>
      <c r="G67" s="43"/>
      <c r="H67" s="48">
        <f>F67-G67</f>
        <v>0</v>
      </c>
      <c r="I67" s="43"/>
    </row>
    <row r="68" spans="1:9" x14ac:dyDescent="0.25">
      <c r="A68" s="30" t="s">
        <v>112</v>
      </c>
      <c r="B68" s="50"/>
      <c r="C68" s="51"/>
      <c r="D68" s="33">
        <f>+D65+D66</f>
        <v>0</v>
      </c>
      <c r="E68" s="32"/>
      <c r="F68" s="45">
        <f>SUM(F65:F67)</f>
        <v>0</v>
      </c>
      <c r="G68" s="45">
        <f>SUM(G65:G67)</f>
        <v>0</v>
      </c>
      <c r="H68" s="45">
        <f>SUM(H65:H67)</f>
        <v>0</v>
      </c>
      <c r="I68" s="34"/>
    </row>
    <row r="69" spans="1:9" x14ac:dyDescent="0.25">
      <c r="A69" s="339" t="s">
        <v>1</v>
      </c>
      <c r="B69" s="27" t="s">
        <v>126</v>
      </c>
      <c r="C69" s="23" t="s">
        <v>131</v>
      </c>
      <c r="D69" s="24">
        <v>30005</v>
      </c>
      <c r="E69" s="24">
        <f>18240-200</f>
        <v>18040</v>
      </c>
      <c r="F69" s="24">
        <f>D69*E69</f>
        <v>541290200</v>
      </c>
      <c r="G69" s="24">
        <f>F69</f>
        <v>541290200</v>
      </c>
      <c r="H69" s="24">
        <f>F69-G69</f>
        <v>0</v>
      </c>
      <c r="I69" s="26" t="s">
        <v>111</v>
      </c>
    </row>
    <row r="70" spans="1:9" x14ac:dyDescent="0.25">
      <c r="A70" s="340"/>
      <c r="B70" s="37"/>
      <c r="C70" s="23"/>
      <c r="D70" s="29"/>
      <c r="E70" s="29"/>
      <c r="F70" s="29">
        <f>D70*E70</f>
        <v>0</v>
      </c>
      <c r="G70" s="53"/>
      <c r="H70" s="24">
        <f>F70-G70</f>
        <v>0</v>
      </c>
      <c r="I70" s="26"/>
    </row>
    <row r="71" spans="1:9" x14ac:dyDescent="0.25">
      <c r="A71" s="47"/>
      <c r="B71" s="40"/>
      <c r="C71" s="43"/>
      <c r="D71" s="42"/>
      <c r="E71" s="42"/>
      <c r="F71" s="42">
        <f>D71*E71</f>
        <v>0</v>
      </c>
      <c r="G71" s="54"/>
      <c r="H71" s="24">
        <f>F71-G71</f>
        <v>0</v>
      </c>
      <c r="I71" s="52"/>
    </row>
    <row r="72" spans="1:9" x14ac:dyDescent="0.25">
      <c r="A72" s="30" t="s">
        <v>112</v>
      </c>
      <c r="B72" s="51"/>
      <c r="C72" s="51"/>
      <c r="D72" s="33">
        <f>SUM(D69:D71)</f>
        <v>30005</v>
      </c>
      <c r="E72" s="32"/>
      <c r="F72" s="45">
        <f>SUM(F69:F71)</f>
        <v>541290200</v>
      </c>
      <c r="G72" s="45">
        <f>SUM(G69:G71)</f>
        <v>541290200</v>
      </c>
      <c r="H72" s="45">
        <f>SUM(H69:H71)</f>
        <v>0</v>
      </c>
      <c r="I72" s="34"/>
    </row>
    <row r="73" spans="1:9" x14ac:dyDescent="0.25">
      <c r="A73" s="55" t="s">
        <v>115</v>
      </c>
      <c r="B73" s="56"/>
      <c r="C73" s="56"/>
      <c r="D73" s="57">
        <f>+D59+D64+D68+D72</f>
        <v>103005</v>
      </c>
      <c r="E73" s="55"/>
      <c r="F73" s="58">
        <f>+F59+F64+F68+F72</f>
        <v>1822630200</v>
      </c>
      <c r="G73" s="58">
        <f>+G59+G64+G68+G72</f>
        <v>1822630200</v>
      </c>
      <c r="H73" s="58">
        <f>+H59+H64+H68+H72</f>
        <v>0</v>
      </c>
      <c r="I73" s="56"/>
    </row>
    <row r="76" spans="1:9" ht="18.75" x14ac:dyDescent="0.3">
      <c r="A76" s="341" t="s">
        <v>99</v>
      </c>
      <c r="B76" s="341"/>
      <c r="C76" s="341"/>
      <c r="D76" s="341"/>
      <c r="E76" s="341"/>
      <c r="F76" s="341"/>
      <c r="G76" s="341"/>
      <c r="H76" s="341"/>
      <c r="I76" s="341"/>
    </row>
    <row r="77" spans="1:9" x14ac:dyDescent="0.25">
      <c r="A77" s="342" t="s">
        <v>132</v>
      </c>
      <c r="B77" s="342"/>
      <c r="C77" s="342"/>
      <c r="D77" s="342"/>
      <c r="E77" s="342"/>
      <c r="F77" s="342"/>
      <c r="G77" s="342"/>
      <c r="H77" s="342"/>
      <c r="I77" s="342"/>
    </row>
    <row r="78" spans="1:9" x14ac:dyDescent="0.25">
      <c r="A78" s="17"/>
    </row>
    <row r="79" spans="1:9" x14ac:dyDescent="0.25">
      <c r="A79" s="19" t="s">
        <v>101</v>
      </c>
      <c r="B79" s="20" t="s">
        <v>102</v>
      </c>
      <c r="C79" s="20" t="s">
        <v>103</v>
      </c>
      <c r="D79" s="21" t="s">
        <v>104</v>
      </c>
      <c r="E79" s="20" t="s">
        <v>105</v>
      </c>
      <c r="F79" s="20" t="s">
        <v>106</v>
      </c>
      <c r="G79" s="20" t="s">
        <v>107</v>
      </c>
      <c r="H79" s="20" t="s">
        <v>108</v>
      </c>
      <c r="I79" s="20" t="s">
        <v>109</v>
      </c>
    </row>
    <row r="80" spans="1:9" x14ac:dyDescent="0.25">
      <c r="A80" s="343" t="s">
        <v>2</v>
      </c>
      <c r="B80" s="22" t="s">
        <v>133</v>
      </c>
      <c r="C80" s="23" t="s">
        <v>134</v>
      </c>
      <c r="D80" s="24">
        <v>20055</v>
      </c>
      <c r="E80" s="24">
        <f>17240-750</f>
        <v>16490</v>
      </c>
      <c r="F80" s="25">
        <f>D80*E80</f>
        <v>330706950</v>
      </c>
      <c r="G80" s="25">
        <f>F80</f>
        <v>330706950</v>
      </c>
      <c r="H80" s="25">
        <f>F80-G80</f>
        <v>0</v>
      </c>
      <c r="I80" s="26" t="s">
        <v>111</v>
      </c>
    </row>
    <row r="81" spans="1:10" x14ac:dyDescent="0.25">
      <c r="A81" s="345"/>
      <c r="B81" s="27"/>
      <c r="C81" s="28"/>
      <c r="D81" s="29"/>
      <c r="E81" s="29"/>
      <c r="F81" s="29">
        <f>D81*E81</f>
        <v>0</v>
      </c>
      <c r="G81" s="28"/>
      <c r="H81" s="25">
        <f>F81-G81</f>
        <v>0</v>
      </c>
      <c r="I81" s="28"/>
    </row>
    <row r="82" spans="1:10" x14ac:dyDescent="0.25">
      <c r="A82" s="344"/>
      <c r="B82" s="27"/>
      <c r="C82" s="28"/>
      <c r="D82" s="42"/>
      <c r="E82" s="42"/>
      <c r="F82" s="42">
        <f>D82*E82</f>
        <v>0</v>
      </c>
      <c r="G82" s="43"/>
      <c r="H82" s="25">
        <f>F82-G82</f>
        <v>0</v>
      </c>
      <c r="I82" s="52"/>
    </row>
    <row r="83" spans="1:10" x14ac:dyDescent="0.25">
      <c r="A83" s="30" t="s">
        <v>112</v>
      </c>
      <c r="B83" s="31"/>
      <c r="C83" s="32"/>
      <c r="D83" s="33">
        <f>SUM(D80:D81)</f>
        <v>20055</v>
      </c>
      <c r="E83" s="33"/>
      <c r="F83" s="33">
        <f>SUM(F80:F82)</f>
        <v>330706950</v>
      </c>
      <c r="G83" s="33">
        <f>SUM(G80:G81)</f>
        <v>330706950</v>
      </c>
      <c r="H83" s="33">
        <f>SUM(H80:H82)</f>
        <v>0</v>
      </c>
      <c r="I83" s="34"/>
    </row>
    <row r="84" spans="1:10" x14ac:dyDescent="0.25">
      <c r="A84" s="343" t="s">
        <v>0</v>
      </c>
      <c r="B84" s="27"/>
      <c r="C84" s="23"/>
      <c r="D84" s="24"/>
      <c r="E84" s="24"/>
      <c r="F84" s="25">
        <f>D84*E84</f>
        <v>0</v>
      </c>
      <c r="G84" s="25"/>
      <c r="H84" s="25">
        <f>F84-G84</f>
        <v>0</v>
      </c>
      <c r="I84" s="26"/>
    </row>
    <row r="85" spans="1:10" x14ac:dyDescent="0.25">
      <c r="A85" s="345"/>
      <c r="B85" s="22" t="s">
        <v>135</v>
      </c>
      <c r="C85" s="23" t="s">
        <v>136</v>
      </c>
      <c r="D85" s="35">
        <v>24063</v>
      </c>
      <c r="E85" s="35">
        <f>17370-200</f>
        <v>17170</v>
      </c>
      <c r="F85" s="35">
        <f>D85*E85</f>
        <v>413161710</v>
      </c>
      <c r="G85" s="46">
        <f>F85</f>
        <v>413161710</v>
      </c>
      <c r="H85" s="25">
        <f>F85-G85</f>
        <v>0</v>
      </c>
      <c r="I85" s="26" t="s">
        <v>111</v>
      </c>
      <c r="J85" s="59"/>
    </row>
    <row r="86" spans="1:10" x14ac:dyDescent="0.25">
      <c r="A86" s="345"/>
      <c r="B86" s="37"/>
      <c r="C86" s="38"/>
      <c r="D86" s="29"/>
      <c r="E86" s="29"/>
      <c r="F86" s="29">
        <f>D86*E86</f>
        <v>0</v>
      </c>
      <c r="G86" s="28"/>
      <c r="H86" s="39">
        <f>F86-G86</f>
        <v>0</v>
      </c>
      <c r="I86" s="28"/>
    </row>
    <row r="87" spans="1:10" x14ac:dyDescent="0.25">
      <c r="A87" s="344"/>
      <c r="B87" s="40"/>
      <c r="C87" s="41"/>
      <c r="D87" s="42"/>
      <c r="E87" s="42"/>
      <c r="F87" s="42">
        <f>D87*E87</f>
        <v>0</v>
      </c>
      <c r="G87" s="43"/>
      <c r="H87" s="44">
        <f>F87-G87</f>
        <v>0</v>
      </c>
      <c r="I87" s="28"/>
    </row>
    <row r="88" spans="1:10" x14ac:dyDescent="0.25">
      <c r="A88" s="30" t="s">
        <v>112</v>
      </c>
      <c r="B88" s="31"/>
      <c r="C88" s="32"/>
      <c r="D88" s="33">
        <f>SUM(D84:D86)</f>
        <v>24063</v>
      </c>
      <c r="E88" s="33"/>
      <c r="F88" s="45">
        <f>SUM(F84:F87)</f>
        <v>413161710</v>
      </c>
      <c r="G88" s="45">
        <f>SUM(G84:G87)</f>
        <v>413161710</v>
      </c>
      <c r="H88" s="45">
        <f>SUM(H84:H87)</f>
        <v>0</v>
      </c>
      <c r="I88" s="34"/>
    </row>
    <row r="89" spans="1:10" x14ac:dyDescent="0.25">
      <c r="A89" s="339" t="s">
        <v>11</v>
      </c>
      <c r="B89" s="22" t="s">
        <v>137</v>
      </c>
      <c r="C89" s="23" t="s">
        <v>138</v>
      </c>
      <c r="D89" s="35">
        <v>28080</v>
      </c>
      <c r="E89" s="35">
        <f>17520-850</f>
        <v>16670</v>
      </c>
      <c r="F89" s="46">
        <f>D89*E89</f>
        <v>468093600</v>
      </c>
      <c r="G89" s="46">
        <f>F89</f>
        <v>468093600</v>
      </c>
      <c r="H89" s="46">
        <f>F89-G89</f>
        <v>0</v>
      </c>
      <c r="I89" s="26" t="s">
        <v>119</v>
      </c>
      <c r="J89" s="36">
        <f>468093600/D89</f>
        <v>16670</v>
      </c>
    </row>
    <row r="90" spans="1:10" x14ac:dyDescent="0.25">
      <c r="A90" s="346"/>
      <c r="B90" s="37"/>
      <c r="C90" s="28"/>
      <c r="D90" s="29"/>
      <c r="E90" s="29"/>
      <c r="F90" s="48">
        <f>D90*E90</f>
        <v>0</v>
      </c>
      <c r="G90" s="28"/>
      <c r="H90" s="48">
        <f>F90-G90</f>
        <v>0</v>
      </c>
      <c r="I90" s="28"/>
      <c r="J90" s="36">
        <f>E89-J89</f>
        <v>0</v>
      </c>
    </row>
    <row r="91" spans="1:10" x14ac:dyDescent="0.25">
      <c r="A91" s="347"/>
      <c r="B91" s="40"/>
      <c r="C91" s="28"/>
      <c r="D91" s="49"/>
      <c r="E91" s="42"/>
      <c r="F91" s="44"/>
      <c r="G91" s="43"/>
      <c r="H91" s="48">
        <f>F91-G91</f>
        <v>0</v>
      </c>
      <c r="I91" s="43"/>
      <c r="J91" s="36">
        <f>D89*50</f>
        <v>1404000</v>
      </c>
    </row>
    <row r="92" spans="1:10" x14ac:dyDescent="0.25">
      <c r="A92" s="30" t="s">
        <v>112</v>
      </c>
      <c r="B92" s="50"/>
      <c r="C92" s="51"/>
      <c r="D92" s="33"/>
      <c r="E92" s="32"/>
      <c r="F92" s="45">
        <f>SUM(F89:F91)</f>
        <v>468093600</v>
      </c>
      <c r="G92" s="45">
        <f>SUM(G89:G91)</f>
        <v>468093600</v>
      </c>
      <c r="H92" s="45">
        <f>SUM(H89:H91)</f>
        <v>0</v>
      </c>
      <c r="I92" s="34"/>
    </row>
    <row r="93" spans="1:10" x14ac:dyDescent="0.25">
      <c r="A93" s="339" t="s">
        <v>1</v>
      </c>
      <c r="B93" s="27"/>
      <c r="C93" s="23"/>
      <c r="D93" s="24"/>
      <c r="E93" s="24"/>
      <c r="F93" s="24">
        <f>D93*E93</f>
        <v>0</v>
      </c>
      <c r="G93" s="24">
        <f>F93</f>
        <v>0</v>
      </c>
      <c r="H93" s="24">
        <f>F93-G93</f>
        <v>0</v>
      </c>
      <c r="I93" s="26"/>
    </row>
    <row r="94" spans="1:10" x14ac:dyDescent="0.25">
      <c r="A94" s="340"/>
      <c r="B94" s="37"/>
      <c r="C94" s="23"/>
      <c r="D94" s="29"/>
      <c r="E94" s="29"/>
      <c r="F94" s="29">
        <f>D94*E94</f>
        <v>0</v>
      </c>
      <c r="G94" s="53"/>
      <c r="H94" s="24">
        <f>F94-G94</f>
        <v>0</v>
      </c>
      <c r="I94" s="26"/>
    </row>
    <row r="95" spans="1:10" x14ac:dyDescent="0.25">
      <c r="A95" s="47"/>
      <c r="B95" s="40"/>
      <c r="C95" s="43"/>
      <c r="D95" s="42"/>
      <c r="E95" s="42"/>
      <c r="F95" s="42">
        <f>D95*E95</f>
        <v>0</v>
      </c>
      <c r="G95" s="54"/>
      <c r="H95" s="24">
        <f>F95-G95</f>
        <v>0</v>
      </c>
      <c r="I95" s="52"/>
    </row>
    <row r="96" spans="1:10" x14ac:dyDescent="0.25">
      <c r="A96" s="30" t="s">
        <v>112</v>
      </c>
      <c r="B96" s="51"/>
      <c r="C96" s="51"/>
      <c r="D96" s="33">
        <f>SUM(D93:D95)</f>
        <v>0</v>
      </c>
      <c r="E96" s="32"/>
      <c r="F96" s="45">
        <f>SUM(F93:F95)</f>
        <v>0</v>
      </c>
      <c r="G96" s="45">
        <f>SUM(G93:G95)</f>
        <v>0</v>
      </c>
      <c r="H96" s="45">
        <f>SUM(H93:H95)</f>
        <v>0</v>
      </c>
      <c r="I96" s="34"/>
    </row>
    <row r="97" spans="1:10" x14ac:dyDescent="0.25">
      <c r="A97" s="55" t="s">
        <v>115</v>
      </c>
      <c r="B97" s="56"/>
      <c r="C97" s="56"/>
      <c r="D97" s="57">
        <f>+D83+D88+D92+D96</f>
        <v>44118</v>
      </c>
      <c r="E97" s="55"/>
      <c r="F97" s="58">
        <f>+F83+F88+F92+F96</f>
        <v>1211962260</v>
      </c>
      <c r="G97" s="58">
        <f>+G83+G88+G92+G96</f>
        <v>1211962260</v>
      </c>
      <c r="H97" s="58">
        <f>+H83+H88+H92+H96</f>
        <v>0</v>
      </c>
      <c r="I97" s="56"/>
    </row>
    <row r="102" spans="1:10" ht="18.75" x14ac:dyDescent="0.3">
      <c r="A102" s="341" t="s">
        <v>99</v>
      </c>
      <c r="B102" s="341"/>
      <c r="C102" s="341"/>
      <c r="D102" s="341"/>
      <c r="E102" s="341"/>
      <c r="F102" s="341"/>
      <c r="G102" s="341"/>
      <c r="H102" s="341"/>
      <c r="I102" s="341"/>
    </row>
    <row r="103" spans="1:10" x14ac:dyDescent="0.25">
      <c r="A103" s="342" t="s">
        <v>139</v>
      </c>
      <c r="B103" s="342"/>
      <c r="C103" s="342"/>
      <c r="D103" s="342"/>
      <c r="E103" s="342"/>
      <c r="F103" s="342"/>
      <c r="G103" s="342"/>
      <c r="H103" s="342"/>
      <c r="I103" s="342"/>
    </row>
    <row r="104" spans="1:10" x14ac:dyDescent="0.25">
      <c r="A104" s="17"/>
    </row>
    <row r="105" spans="1:10" ht="21.75" customHeight="1" x14ac:dyDescent="0.25">
      <c r="A105" s="19" t="s">
        <v>101</v>
      </c>
      <c r="B105" s="20" t="s">
        <v>102</v>
      </c>
      <c r="C105" s="20" t="s">
        <v>103</v>
      </c>
      <c r="D105" s="21" t="s">
        <v>104</v>
      </c>
      <c r="E105" s="20" t="s">
        <v>105</v>
      </c>
      <c r="F105" s="20" t="s">
        <v>106</v>
      </c>
      <c r="G105" s="20" t="s">
        <v>107</v>
      </c>
      <c r="H105" s="20" t="s">
        <v>108</v>
      </c>
      <c r="I105" s="20" t="s">
        <v>109</v>
      </c>
    </row>
    <row r="106" spans="1:10" x14ac:dyDescent="0.25">
      <c r="A106" s="343" t="s">
        <v>2</v>
      </c>
      <c r="B106" s="22"/>
      <c r="C106" s="23"/>
      <c r="D106" s="24"/>
      <c r="E106" s="24"/>
      <c r="F106" s="25">
        <f>D106*E106</f>
        <v>0</v>
      </c>
      <c r="G106" s="25">
        <f>F106</f>
        <v>0</v>
      </c>
      <c r="H106" s="25">
        <f>F106-G106</f>
        <v>0</v>
      </c>
      <c r="I106" s="26"/>
    </row>
    <row r="107" spans="1:10" x14ac:dyDescent="0.25">
      <c r="A107" s="345"/>
      <c r="B107" s="27"/>
      <c r="C107" s="28"/>
      <c r="D107" s="29"/>
      <c r="E107" s="29"/>
      <c r="F107" s="29">
        <f>D107*E107</f>
        <v>0</v>
      </c>
      <c r="G107" s="28"/>
      <c r="H107" s="25">
        <f>F107-G107</f>
        <v>0</v>
      </c>
      <c r="I107" s="28"/>
    </row>
    <row r="108" spans="1:10" x14ac:dyDescent="0.25">
      <c r="A108" s="344"/>
      <c r="B108" s="27"/>
      <c r="C108" s="28"/>
      <c r="D108" s="42"/>
      <c r="E108" s="42"/>
      <c r="F108" s="42">
        <f>D108*E108</f>
        <v>0</v>
      </c>
      <c r="G108" s="43"/>
      <c r="H108" s="25">
        <f>F108-G108</f>
        <v>0</v>
      </c>
      <c r="I108" s="52"/>
    </row>
    <row r="109" spans="1:10" x14ac:dyDescent="0.25">
      <c r="A109" s="30" t="s">
        <v>112</v>
      </c>
      <c r="B109" s="31"/>
      <c r="C109" s="32"/>
      <c r="D109" s="33">
        <f>SUM(D106:D107)</f>
        <v>0</v>
      </c>
      <c r="E109" s="33"/>
      <c r="F109" s="33">
        <f>SUM(F106:F108)</f>
        <v>0</v>
      </c>
      <c r="G109" s="33">
        <f>SUM(G106:G107)</f>
        <v>0</v>
      </c>
      <c r="H109" s="33">
        <f>SUM(H106:H108)</f>
        <v>0</v>
      </c>
      <c r="I109" s="34"/>
    </row>
    <row r="110" spans="1:10" x14ac:dyDescent="0.25">
      <c r="A110" s="343" t="s">
        <v>0</v>
      </c>
      <c r="B110" s="60" t="s">
        <v>140</v>
      </c>
      <c r="C110" s="23" t="s">
        <v>136</v>
      </c>
      <c r="D110" s="24">
        <v>28000</v>
      </c>
      <c r="E110" s="24">
        <f>17220-200</f>
        <v>17020</v>
      </c>
      <c r="F110" s="25">
        <f>D110*E110</f>
        <v>476560000</v>
      </c>
      <c r="G110" s="25">
        <f>F110</f>
        <v>476560000</v>
      </c>
      <c r="H110" s="25">
        <f>F110-G110</f>
        <v>0</v>
      </c>
      <c r="I110" s="26" t="s">
        <v>111</v>
      </c>
      <c r="J110" s="61" t="e">
        <f>B110+15</f>
        <v>#VALUE!</v>
      </c>
    </row>
    <row r="111" spans="1:10" x14ac:dyDescent="0.25">
      <c r="A111" s="345"/>
      <c r="B111" s="22"/>
      <c r="C111" s="23"/>
      <c r="D111" s="35"/>
      <c r="E111" s="35"/>
      <c r="F111" s="35">
        <f>D111*E111</f>
        <v>0</v>
      </c>
      <c r="G111" s="35"/>
      <c r="H111" s="25">
        <f>F111-G111</f>
        <v>0</v>
      </c>
      <c r="I111" s="26"/>
    </row>
    <row r="112" spans="1:10" x14ac:dyDescent="0.25">
      <c r="A112" s="345"/>
      <c r="B112" s="37"/>
      <c r="C112" s="38"/>
      <c r="D112" s="29"/>
      <c r="E112" s="29"/>
      <c r="F112" s="29">
        <f>D112*E112</f>
        <v>0</v>
      </c>
      <c r="G112" s="28"/>
      <c r="H112" s="39">
        <f>F112-G112</f>
        <v>0</v>
      </c>
      <c r="I112" s="28"/>
    </row>
    <row r="113" spans="1:11" x14ac:dyDescent="0.25">
      <c r="A113" s="344"/>
      <c r="B113" s="40"/>
      <c r="C113" s="41"/>
      <c r="D113" s="42"/>
      <c r="E113" s="42"/>
      <c r="F113" s="42">
        <f>D113*E113</f>
        <v>0</v>
      </c>
      <c r="G113" s="43"/>
      <c r="H113" s="44">
        <f>F113-G113</f>
        <v>0</v>
      </c>
      <c r="I113" s="28"/>
    </row>
    <row r="114" spans="1:11" x14ac:dyDescent="0.25">
      <c r="A114" s="30" t="s">
        <v>112</v>
      </c>
      <c r="B114" s="31"/>
      <c r="C114" s="32"/>
      <c r="D114" s="33">
        <f>SUM(D110:D112)</f>
        <v>28000</v>
      </c>
      <c r="E114" s="33"/>
      <c r="F114" s="45">
        <f>SUM(F110:F113)</f>
        <v>476560000</v>
      </c>
      <c r="G114" s="45">
        <f>SUM(G110:G113)</f>
        <v>476560000</v>
      </c>
      <c r="H114" s="45">
        <f>SUM(H110:H113)</f>
        <v>0</v>
      </c>
      <c r="I114" s="34"/>
    </row>
    <row r="115" spans="1:11" x14ac:dyDescent="0.25">
      <c r="A115" s="339" t="s">
        <v>11</v>
      </c>
      <c r="B115" s="22"/>
      <c r="C115" s="23"/>
      <c r="D115" s="35"/>
      <c r="E115" s="35"/>
      <c r="F115" s="46">
        <f>D115*E115</f>
        <v>0</v>
      </c>
      <c r="G115" s="46">
        <f>F115</f>
        <v>0</v>
      </c>
      <c r="H115" s="46">
        <f>F115-G115</f>
        <v>0</v>
      </c>
      <c r="I115" s="26"/>
      <c r="J115" s="59"/>
    </row>
    <row r="116" spans="1:11" x14ac:dyDescent="0.25">
      <c r="A116" s="346"/>
      <c r="B116" s="37"/>
      <c r="C116" s="28"/>
      <c r="D116" s="29"/>
      <c r="E116" s="29"/>
      <c r="F116" s="48">
        <f>D116*E116</f>
        <v>0</v>
      </c>
      <c r="G116" s="28"/>
      <c r="H116" s="48">
        <f>F116-G116</f>
        <v>0</v>
      </c>
      <c r="I116" s="28"/>
    </row>
    <row r="117" spans="1:11" x14ac:dyDescent="0.25">
      <c r="A117" s="347"/>
      <c r="B117" s="40"/>
      <c r="C117" s="28"/>
      <c r="D117" s="49"/>
      <c r="E117" s="42"/>
      <c r="F117" s="44"/>
      <c r="G117" s="43"/>
      <c r="H117" s="48">
        <f>F117-G117</f>
        <v>0</v>
      </c>
      <c r="I117" s="43"/>
    </row>
    <row r="118" spans="1:11" x14ac:dyDescent="0.25">
      <c r="A118" s="30" t="s">
        <v>112</v>
      </c>
      <c r="B118" s="50"/>
      <c r="C118" s="51"/>
      <c r="D118" s="33">
        <f>+D115+D116</f>
        <v>0</v>
      </c>
      <c r="E118" s="32"/>
      <c r="F118" s="45">
        <f>SUM(F115:F117)</f>
        <v>0</v>
      </c>
      <c r="G118" s="45">
        <f>SUM(G115:G117)</f>
        <v>0</v>
      </c>
      <c r="H118" s="45">
        <f>SUM(H115:H117)</f>
        <v>0</v>
      </c>
      <c r="I118" s="34"/>
    </row>
    <row r="119" spans="1:11" x14ac:dyDescent="0.25">
      <c r="A119" s="339" t="s">
        <v>1</v>
      </c>
      <c r="B119" s="27">
        <v>45813</v>
      </c>
      <c r="C119" s="23" t="s">
        <v>114</v>
      </c>
      <c r="D119" s="24">
        <v>24080</v>
      </c>
      <c r="E119" s="24">
        <f>17350-400</f>
        <v>16950</v>
      </c>
      <c r="F119" s="24">
        <f>D119*E119</f>
        <v>408156000</v>
      </c>
      <c r="G119" s="24">
        <f>F119</f>
        <v>408156000</v>
      </c>
      <c r="H119" s="24">
        <f>F119-G119</f>
        <v>0</v>
      </c>
      <c r="I119" s="26" t="s">
        <v>111</v>
      </c>
      <c r="J119" s="36"/>
      <c r="K119" s="36"/>
    </row>
    <row r="120" spans="1:11" x14ac:dyDescent="0.25">
      <c r="A120" s="340"/>
      <c r="B120" s="37"/>
      <c r="C120" s="23"/>
      <c r="D120" s="29"/>
      <c r="E120" s="29"/>
      <c r="F120" s="29">
        <f>D120*E120</f>
        <v>0</v>
      </c>
      <c r="G120" s="53"/>
      <c r="H120" s="24">
        <f>F120-G120</f>
        <v>0</v>
      </c>
      <c r="I120" s="26"/>
    </row>
    <row r="121" spans="1:11" x14ac:dyDescent="0.25">
      <c r="A121" s="47"/>
      <c r="B121" s="40"/>
      <c r="C121" s="43"/>
      <c r="D121" s="42"/>
      <c r="E121" s="42"/>
      <c r="F121" s="42">
        <f>D121*E121</f>
        <v>0</v>
      </c>
      <c r="G121" s="54"/>
      <c r="H121" s="24">
        <f>F121-G121</f>
        <v>0</v>
      </c>
      <c r="I121" s="52"/>
    </row>
    <row r="122" spans="1:11" x14ac:dyDescent="0.25">
      <c r="A122" s="30" t="s">
        <v>112</v>
      </c>
      <c r="B122" s="51"/>
      <c r="C122" s="51"/>
      <c r="D122" s="33">
        <f>SUM(D119:D121)</f>
        <v>24080</v>
      </c>
      <c r="E122" s="32"/>
      <c r="F122" s="45">
        <f>SUM(F119:F121)</f>
        <v>408156000</v>
      </c>
      <c r="G122" s="45">
        <f>SUM(G119:G121)</f>
        <v>408156000</v>
      </c>
      <c r="H122" s="45">
        <f>SUM(H119:H121)</f>
        <v>0</v>
      </c>
      <c r="I122" s="34"/>
    </row>
    <row r="123" spans="1:11" x14ac:dyDescent="0.25">
      <c r="A123" s="55" t="s">
        <v>115</v>
      </c>
      <c r="B123" s="56"/>
      <c r="C123" s="56"/>
      <c r="D123" s="57">
        <f>+D109+D114+D118+D122</f>
        <v>52080</v>
      </c>
      <c r="E123" s="55"/>
      <c r="F123" s="58">
        <f>+F109+F114+F118+F122</f>
        <v>884716000</v>
      </c>
      <c r="G123" s="58">
        <f>+G109+G114+G118+G122</f>
        <v>884716000</v>
      </c>
      <c r="H123" s="58">
        <f>+H109+H114+H118+H122</f>
        <v>0</v>
      </c>
      <c r="I123" s="56"/>
    </row>
    <row r="130" spans="1:10" ht="18.75" x14ac:dyDescent="0.3">
      <c r="A130" s="341" t="s">
        <v>99</v>
      </c>
      <c r="B130" s="341"/>
      <c r="C130" s="341"/>
      <c r="D130" s="341"/>
      <c r="E130" s="341"/>
      <c r="F130" s="341"/>
      <c r="G130" s="341"/>
      <c r="H130" s="341"/>
      <c r="I130" s="341"/>
    </row>
    <row r="131" spans="1:10" x14ac:dyDescent="0.25">
      <c r="A131" s="342" t="s">
        <v>141</v>
      </c>
      <c r="B131" s="342"/>
      <c r="C131" s="342"/>
      <c r="D131" s="342"/>
      <c r="E131" s="342"/>
      <c r="F131" s="342"/>
      <c r="G131" s="342"/>
      <c r="H131" s="342"/>
      <c r="I131" s="342"/>
    </row>
    <row r="132" spans="1:10" x14ac:dyDescent="0.25">
      <c r="A132" s="17"/>
    </row>
    <row r="133" spans="1:10" x14ac:dyDescent="0.25">
      <c r="A133" s="19" t="s">
        <v>101</v>
      </c>
      <c r="B133" s="20" t="s">
        <v>102</v>
      </c>
      <c r="C133" s="20" t="s">
        <v>103</v>
      </c>
      <c r="D133" s="21" t="s">
        <v>104</v>
      </c>
      <c r="E133" s="20" t="s">
        <v>105</v>
      </c>
      <c r="F133" s="20" t="s">
        <v>106</v>
      </c>
      <c r="G133" s="20" t="s">
        <v>107</v>
      </c>
      <c r="H133" s="20" t="s">
        <v>108</v>
      </c>
      <c r="I133" s="20" t="s">
        <v>109</v>
      </c>
    </row>
    <row r="134" spans="1:10" x14ac:dyDescent="0.25">
      <c r="A134" s="343" t="s">
        <v>2</v>
      </c>
      <c r="B134" s="22"/>
      <c r="C134" s="23"/>
      <c r="D134" s="24"/>
      <c r="E134" s="24"/>
      <c r="F134" s="25">
        <f>D134*E134</f>
        <v>0</v>
      </c>
      <c r="G134" s="25">
        <f>F134</f>
        <v>0</v>
      </c>
      <c r="H134" s="25">
        <f>F134-G134</f>
        <v>0</v>
      </c>
      <c r="I134" s="26"/>
    </row>
    <row r="135" spans="1:10" x14ac:dyDescent="0.25">
      <c r="A135" s="345"/>
      <c r="B135" s="27"/>
      <c r="C135" s="28"/>
      <c r="D135" s="29"/>
      <c r="E135" s="29"/>
      <c r="F135" s="29">
        <f>D135*E135</f>
        <v>0</v>
      </c>
      <c r="G135" s="28"/>
      <c r="H135" s="25">
        <f>F135-G135</f>
        <v>0</v>
      </c>
      <c r="I135" s="28"/>
    </row>
    <row r="136" spans="1:10" x14ac:dyDescent="0.25">
      <c r="A136" s="344"/>
      <c r="B136" s="27"/>
      <c r="C136" s="28"/>
      <c r="D136" s="42"/>
      <c r="E136" s="42"/>
      <c r="F136" s="42">
        <f>D136*E136</f>
        <v>0</v>
      </c>
      <c r="G136" s="43"/>
      <c r="H136" s="25">
        <f>F136-G136</f>
        <v>0</v>
      </c>
      <c r="I136" s="52"/>
    </row>
    <row r="137" spans="1:10" x14ac:dyDescent="0.25">
      <c r="A137" s="30" t="s">
        <v>112</v>
      </c>
      <c r="B137" s="31"/>
      <c r="C137" s="32"/>
      <c r="D137" s="33">
        <f>SUM(D134:D135)</f>
        <v>0</v>
      </c>
      <c r="E137" s="33"/>
      <c r="F137" s="33">
        <f>SUM(F134:F136)</f>
        <v>0</v>
      </c>
      <c r="G137" s="33">
        <f>SUM(G134:G135)</f>
        <v>0</v>
      </c>
      <c r="H137" s="33">
        <f>SUM(H134:H136)</f>
        <v>0</v>
      </c>
      <c r="I137" s="34"/>
    </row>
    <row r="138" spans="1:10" x14ac:dyDescent="0.25">
      <c r="A138" s="343" t="s">
        <v>0</v>
      </c>
      <c r="B138" s="60">
        <v>45811</v>
      </c>
      <c r="C138" s="23" t="s">
        <v>142</v>
      </c>
      <c r="D138" s="24">
        <v>10000</v>
      </c>
      <c r="E138" s="24">
        <f>17130-500</f>
        <v>16630</v>
      </c>
      <c r="F138" s="25">
        <f>D138*E138</f>
        <v>166300000</v>
      </c>
      <c r="G138" s="25">
        <f>F138</f>
        <v>166300000</v>
      </c>
      <c r="H138" s="25">
        <f>F138-G138</f>
        <v>0</v>
      </c>
      <c r="I138" s="26" t="s">
        <v>111</v>
      </c>
      <c r="J138" s="36">
        <f>17130-E138</f>
        <v>500</v>
      </c>
    </row>
    <row r="139" spans="1:10" x14ac:dyDescent="0.25">
      <c r="A139" s="345"/>
      <c r="B139" s="22">
        <v>45832</v>
      </c>
      <c r="C139" s="23" t="s">
        <v>114</v>
      </c>
      <c r="D139" s="35">
        <v>22140</v>
      </c>
      <c r="E139" s="35">
        <v>19900</v>
      </c>
      <c r="F139" s="35">
        <f>D139*E139</f>
        <v>440586000</v>
      </c>
      <c r="G139" s="46">
        <f>F139</f>
        <v>440586000</v>
      </c>
      <c r="H139" s="25">
        <f>F139-G139</f>
        <v>0</v>
      </c>
      <c r="I139" s="26" t="s">
        <v>119</v>
      </c>
    </row>
    <row r="140" spans="1:10" x14ac:dyDescent="0.25">
      <c r="A140" s="345"/>
      <c r="B140" s="37"/>
      <c r="C140" s="38"/>
      <c r="D140" s="29"/>
      <c r="E140" s="29"/>
      <c r="F140" s="29">
        <f>D140*E140</f>
        <v>0</v>
      </c>
      <c r="G140" s="28"/>
      <c r="H140" s="39">
        <f>F140-G140</f>
        <v>0</v>
      </c>
      <c r="I140" s="28"/>
    </row>
    <row r="141" spans="1:10" x14ac:dyDescent="0.25">
      <c r="A141" s="344"/>
      <c r="B141" s="40"/>
      <c r="C141" s="41"/>
      <c r="D141" s="42"/>
      <c r="E141" s="42"/>
      <c r="F141" s="42">
        <f>D141*E141</f>
        <v>0</v>
      </c>
      <c r="G141" s="43"/>
      <c r="H141" s="44">
        <f>F141-G141</f>
        <v>0</v>
      </c>
      <c r="I141" s="28"/>
    </row>
    <row r="142" spans="1:10" x14ac:dyDescent="0.25">
      <c r="A142" s="30" t="s">
        <v>112</v>
      </c>
      <c r="B142" s="31"/>
      <c r="C142" s="32"/>
      <c r="D142" s="33">
        <f>SUM(D138:D140)</f>
        <v>32140</v>
      </c>
      <c r="E142" s="33"/>
      <c r="F142" s="45">
        <f>SUM(F138:F141)</f>
        <v>606886000</v>
      </c>
      <c r="G142" s="45">
        <f>SUM(G138:G141)</f>
        <v>606886000</v>
      </c>
      <c r="H142" s="45">
        <f>SUM(H138:H141)</f>
        <v>0</v>
      </c>
      <c r="I142" s="34"/>
    </row>
    <row r="143" spans="1:10" x14ac:dyDescent="0.25">
      <c r="A143" s="339" t="s">
        <v>11</v>
      </c>
      <c r="B143" s="22">
        <v>45818</v>
      </c>
      <c r="C143" s="23" t="s">
        <v>114</v>
      </c>
      <c r="D143" s="35">
        <v>30250</v>
      </c>
      <c r="E143" s="35">
        <f>17420-200</f>
        <v>17220</v>
      </c>
      <c r="F143" s="46">
        <f>D143*E143</f>
        <v>520905000</v>
      </c>
      <c r="G143" s="46">
        <f>F143</f>
        <v>520905000</v>
      </c>
      <c r="H143" s="46">
        <f>F143-G143</f>
        <v>0</v>
      </c>
      <c r="I143" s="26" t="s">
        <v>111</v>
      </c>
    </row>
    <row r="144" spans="1:10" x14ac:dyDescent="0.25">
      <c r="A144" s="346"/>
      <c r="B144" s="37"/>
      <c r="C144" s="28"/>
      <c r="D144" s="29"/>
      <c r="E144" s="29"/>
      <c r="F144" s="48">
        <f>D144*E144</f>
        <v>0</v>
      </c>
      <c r="G144" s="28"/>
      <c r="H144" s="48">
        <f>F144-G144</f>
        <v>0</v>
      </c>
      <c r="I144" s="28"/>
    </row>
    <row r="145" spans="1:10" x14ac:dyDescent="0.25">
      <c r="A145" s="347"/>
      <c r="B145" s="40"/>
      <c r="C145" s="28"/>
      <c r="D145" s="49"/>
      <c r="E145" s="42"/>
      <c r="F145" s="44"/>
      <c r="G145" s="43"/>
      <c r="H145" s="48">
        <f>F145-G145</f>
        <v>0</v>
      </c>
      <c r="I145" s="43"/>
    </row>
    <row r="146" spans="1:10" x14ac:dyDescent="0.25">
      <c r="A146" s="30" t="s">
        <v>112</v>
      </c>
      <c r="B146" s="50"/>
      <c r="C146" s="51"/>
      <c r="D146" s="33"/>
      <c r="E146" s="32"/>
      <c r="F146" s="45">
        <f>SUM(F143:F145)</f>
        <v>520905000</v>
      </c>
      <c r="G146" s="45">
        <f>SUM(G143:G145)</f>
        <v>520905000</v>
      </c>
      <c r="H146" s="45">
        <f>SUM(H143:H145)</f>
        <v>0</v>
      </c>
      <c r="I146" s="34"/>
    </row>
    <row r="147" spans="1:10" x14ac:dyDescent="0.25">
      <c r="A147" s="339" t="s">
        <v>1</v>
      </c>
      <c r="B147" s="27">
        <v>45837</v>
      </c>
      <c r="C147" s="23" t="s">
        <v>142</v>
      </c>
      <c r="D147" s="24">
        <v>16000</v>
      </c>
      <c r="E147" s="24">
        <f>19700-650</f>
        <v>19050</v>
      </c>
      <c r="F147" s="24">
        <f>D147*E147</f>
        <v>304800000</v>
      </c>
      <c r="G147" s="24">
        <f>F147</f>
        <v>304800000</v>
      </c>
      <c r="H147" s="24">
        <f>F147-G147</f>
        <v>0</v>
      </c>
      <c r="I147" s="26" t="s">
        <v>111</v>
      </c>
    </row>
    <row r="148" spans="1:10" x14ac:dyDescent="0.25">
      <c r="A148" s="340"/>
      <c r="B148" s="37"/>
      <c r="C148" s="23"/>
      <c r="D148" s="29"/>
      <c r="E148" s="29"/>
      <c r="F148" s="29">
        <f>D148*E148</f>
        <v>0</v>
      </c>
      <c r="G148" s="53"/>
      <c r="H148" s="24">
        <f>F148-G148</f>
        <v>0</v>
      </c>
      <c r="I148" s="26"/>
    </row>
    <row r="149" spans="1:10" x14ac:dyDescent="0.25">
      <c r="A149" s="47"/>
      <c r="B149" s="40"/>
      <c r="C149" s="43"/>
      <c r="D149" s="42"/>
      <c r="E149" s="42"/>
      <c r="F149" s="42">
        <f>D149*E149</f>
        <v>0</v>
      </c>
      <c r="G149" s="54"/>
      <c r="H149" s="24">
        <f>F149-G149</f>
        <v>0</v>
      </c>
      <c r="I149" s="52"/>
    </row>
    <row r="150" spans="1:10" x14ac:dyDescent="0.25">
      <c r="A150" s="30" t="s">
        <v>112</v>
      </c>
      <c r="B150" s="51"/>
      <c r="C150" s="51"/>
      <c r="D150" s="33">
        <f>SUM(D147:D149)</f>
        <v>16000</v>
      </c>
      <c r="E150" s="32"/>
      <c r="F150" s="45">
        <f>SUM(F147:F149)</f>
        <v>304800000</v>
      </c>
      <c r="G150" s="45">
        <f>SUM(G147:G149)</f>
        <v>304800000</v>
      </c>
      <c r="H150" s="45">
        <f>SUM(H147:H149)</f>
        <v>0</v>
      </c>
      <c r="I150" s="34"/>
    </row>
    <row r="151" spans="1:10" x14ac:dyDescent="0.25">
      <c r="A151" s="55" t="s">
        <v>115</v>
      </c>
      <c r="B151" s="56"/>
      <c r="C151" s="56"/>
      <c r="D151" s="57">
        <f>+D137+D142+D146+D150</f>
        <v>48140</v>
      </c>
      <c r="E151" s="55"/>
      <c r="F151" s="58">
        <f>+F137+F142+F146+F150</f>
        <v>1432591000</v>
      </c>
      <c r="G151" s="58">
        <f>+G137+G142+G146+G150</f>
        <v>1432591000</v>
      </c>
      <c r="H151" s="58">
        <f>+H137+H142+H146+H150</f>
        <v>0</v>
      </c>
      <c r="I151" s="56"/>
    </row>
    <row r="152" spans="1:10" x14ac:dyDescent="0.25">
      <c r="F152" s="18">
        <f>F151/1.1</f>
        <v>1302355454.5454545</v>
      </c>
    </row>
    <row r="156" spans="1:10" ht="18.75" x14ac:dyDescent="0.3">
      <c r="A156" s="341" t="s">
        <v>99</v>
      </c>
      <c r="B156" s="341"/>
      <c r="C156" s="341"/>
      <c r="D156" s="341"/>
      <c r="E156" s="341"/>
      <c r="F156" s="341"/>
      <c r="G156" s="341"/>
      <c r="H156" s="341"/>
      <c r="I156" s="341"/>
    </row>
    <row r="157" spans="1:10" x14ac:dyDescent="0.25">
      <c r="A157" s="342" t="s">
        <v>143</v>
      </c>
      <c r="B157" s="342"/>
      <c r="C157" s="342"/>
      <c r="D157" s="342"/>
      <c r="E157" s="342"/>
      <c r="F157" s="342"/>
      <c r="G157" s="342"/>
      <c r="H157" s="342"/>
      <c r="I157" s="342"/>
    </row>
    <row r="158" spans="1:10" x14ac:dyDescent="0.25">
      <c r="A158" s="17"/>
    </row>
    <row r="159" spans="1:10" x14ac:dyDescent="0.25">
      <c r="A159" s="19" t="s">
        <v>101</v>
      </c>
      <c r="B159" s="20" t="s">
        <v>102</v>
      </c>
      <c r="C159" s="20" t="s">
        <v>103</v>
      </c>
      <c r="D159" s="21" t="s">
        <v>104</v>
      </c>
      <c r="E159" s="20" t="s">
        <v>105</v>
      </c>
      <c r="F159" s="20" t="s">
        <v>106</v>
      </c>
      <c r="G159" s="20" t="s">
        <v>107</v>
      </c>
      <c r="H159" s="20" t="s">
        <v>108</v>
      </c>
      <c r="I159" s="20" t="s">
        <v>109</v>
      </c>
    </row>
    <row r="160" spans="1:10" x14ac:dyDescent="0.25">
      <c r="A160" s="343" t="s">
        <v>2</v>
      </c>
      <c r="B160" s="22">
        <v>45857</v>
      </c>
      <c r="C160" s="23" t="s">
        <v>136</v>
      </c>
      <c r="D160" s="24">
        <v>21065</v>
      </c>
      <c r="E160" s="24">
        <f>18790-550</f>
        <v>18240</v>
      </c>
      <c r="F160" s="25">
        <f>D160*E160</f>
        <v>384225600</v>
      </c>
      <c r="G160" s="25">
        <f>F160</f>
        <v>384225600</v>
      </c>
      <c r="H160" s="25">
        <f>F160-G160</f>
        <v>0</v>
      </c>
      <c r="I160" s="26" t="s">
        <v>144</v>
      </c>
      <c r="J160" s="16">
        <f>384225600/21065</f>
        <v>18240</v>
      </c>
    </row>
    <row r="161" spans="1:10" x14ac:dyDescent="0.25">
      <c r="A161" s="345"/>
      <c r="B161" s="27"/>
      <c r="C161" s="28"/>
      <c r="D161" s="29"/>
      <c r="E161" s="29"/>
      <c r="F161" s="29">
        <f>D161*E161</f>
        <v>0</v>
      </c>
      <c r="G161" s="28"/>
      <c r="H161" s="25">
        <f>F161-G161</f>
        <v>0</v>
      </c>
      <c r="I161" s="28"/>
      <c r="J161" s="16">
        <f>+J160+550</f>
        <v>18790</v>
      </c>
    </row>
    <row r="162" spans="1:10" x14ac:dyDescent="0.25">
      <c r="A162" s="344"/>
      <c r="B162" s="27"/>
      <c r="C162" s="28"/>
      <c r="D162" s="42"/>
      <c r="E162" s="42"/>
      <c r="F162" s="42">
        <f>D162*E162</f>
        <v>0</v>
      </c>
      <c r="G162" s="43"/>
      <c r="H162" s="25">
        <f>F162-G162</f>
        <v>0</v>
      </c>
      <c r="I162" s="52"/>
    </row>
    <row r="163" spans="1:10" x14ac:dyDescent="0.25">
      <c r="A163" s="30" t="s">
        <v>112</v>
      </c>
      <c r="B163" s="31"/>
      <c r="C163" s="32"/>
      <c r="D163" s="33">
        <f>SUM(D160:D161)</f>
        <v>21065</v>
      </c>
      <c r="E163" s="33"/>
      <c r="F163" s="33">
        <f>SUM(F160:F162)</f>
        <v>384225600</v>
      </c>
      <c r="G163" s="33">
        <f>SUM(G160:G161)</f>
        <v>384225600</v>
      </c>
      <c r="H163" s="33">
        <f>SUM(H160:H162)</f>
        <v>0</v>
      </c>
      <c r="I163" s="34"/>
    </row>
    <row r="164" spans="1:10" x14ac:dyDescent="0.25">
      <c r="A164" s="343" t="s">
        <v>0</v>
      </c>
      <c r="B164" s="27">
        <v>45852</v>
      </c>
      <c r="C164" s="23" t="s">
        <v>114</v>
      </c>
      <c r="D164" s="24">
        <v>21065</v>
      </c>
      <c r="E164" s="24">
        <v>18380</v>
      </c>
      <c r="F164" s="25">
        <f>D164*E164</f>
        <v>387174700</v>
      </c>
      <c r="G164" s="25">
        <f>F164</f>
        <v>387174700</v>
      </c>
      <c r="H164" s="25">
        <f>F164-G164</f>
        <v>0</v>
      </c>
      <c r="I164" s="26" t="s">
        <v>144</v>
      </c>
      <c r="J164" s="36"/>
    </row>
    <row r="165" spans="1:10" x14ac:dyDescent="0.25">
      <c r="A165" s="345"/>
      <c r="B165" s="22"/>
      <c r="C165" s="23"/>
      <c r="D165" s="35"/>
      <c r="E165" s="35"/>
      <c r="F165" s="35">
        <f>D165*E165</f>
        <v>0</v>
      </c>
      <c r="G165" s="26"/>
      <c r="H165" s="25">
        <f>F165-G165</f>
        <v>0</v>
      </c>
      <c r="I165" s="26"/>
    </row>
    <row r="166" spans="1:10" x14ac:dyDescent="0.25">
      <c r="A166" s="345"/>
      <c r="B166" s="37"/>
      <c r="C166" s="38"/>
      <c r="D166" s="29"/>
      <c r="E166" s="29"/>
      <c r="F166" s="29">
        <f>D166*E166</f>
        <v>0</v>
      </c>
      <c r="G166" s="28"/>
      <c r="H166" s="39">
        <f>F166-G166</f>
        <v>0</v>
      </c>
      <c r="I166" s="28"/>
    </row>
    <row r="167" spans="1:10" x14ac:dyDescent="0.25">
      <c r="A167" s="344"/>
      <c r="B167" s="40"/>
      <c r="C167" s="41"/>
      <c r="D167" s="42"/>
      <c r="E167" s="42"/>
      <c r="F167" s="42">
        <f>D167*E167</f>
        <v>0</v>
      </c>
      <c r="G167" s="43"/>
      <c r="H167" s="44">
        <f>F167-G167</f>
        <v>0</v>
      </c>
      <c r="I167" s="28"/>
    </row>
    <row r="168" spans="1:10" x14ac:dyDescent="0.25">
      <c r="A168" s="30" t="s">
        <v>112</v>
      </c>
      <c r="B168" s="31"/>
      <c r="C168" s="32"/>
      <c r="D168" s="33">
        <f>SUM(D164:D166)</f>
        <v>21065</v>
      </c>
      <c r="E168" s="33"/>
      <c r="F168" s="45">
        <f>SUM(F164:F167)</f>
        <v>387174700</v>
      </c>
      <c r="G168" s="45">
        <f>SUM(G164:G167)</f>
        <v>387174700</v>
      </c>
      <c r="H168" s="45">
        <f>SUM(H164:H167)</f>
        <v>0</v>
      </c>
      <c r="I168" s="34"/>
    </row>
    <row r="169" spans="1:10" x14ac:dyDescent="0.25">
      <c r="A169" s="339" t="s">
        <v>11</v>
      </c>
      <c r="B169" s="22">
        <v>45839</v>
      </c>
      <c r="C169" s="23" t="s">
        <v>114</v>
      </c>
      <c r="D169" s="35">
        <v>20055</v>
      </c>
      <c r="E169" s="35">
        <f>19340-900</f>
        <v>18440</v>
      </c>
      <c r="F169" s="46">
        <f>D169*E169</f>
        <v>369814200</v>
      </c>
      <c r="G169" s="46">
        <f>200000000+169814200</f>
        <v>369814200</v>
      </c>
      <c r="H169" s="46">
        <f>F169-G169</f>
        <v>0</v>
      </c>
      <c r="I169" s="26" t="s">
        <v>111</v>
      </c>
      <c r="J169" s="36"/>
    </row>
    <row r="170" spans="1:10" x14ac:dyDescent="0.25">
      <c r="A170" s="346"/>
      <c r="B170" s="37"/>
      <c r="C170" s="28"/>
      <c r="D170" s="29"/>
      <c r="E170" s="29"/>
      <c r="F170" s="48">
        <f>D170*E170</f>
        <v>0</v>
      </c>
      <c r="G170" s="28"/>
      <c r="H170" s="48">
        <f>F170-G170</f>
        <v>0</v>
      </c>
      <c r="I170" s="28"/>
      <c r="J170" s="36"/>
    </row>
    <row r="171" spans="1:10" x14ac:dyDescent="0.25">
      <c r="A171" s="347"/>
      <c r="B171" s="40"/>
      <c r="C171" s="28"/>
      <c r="D171" s="49"/>
      <c r="E171" s="42"/>
      <c r="F171" s="44"/>
      <c r="G171" s="43"/>
      <c r="H171" s="48">
        <f>F171-G171</f>
        <v>0</v>
      </c>
      <c r="I171" s="43"/>
    </row>
    <row r="172" spans="1:10" x14ac:dyDescent="0.25">
      <c r="A172" s="30" t="s">
        <v>112</v>
      </c>
      <c r="B172" s="50"/>
      <c r="C172" s="51"/>
      <c r="D172" s="33"/>
      <c r="E172" s="32"/>
      <c r="F172" s="45">
        <f>SUM(F169:F171)</f>
        <v>369814200</v>
      </c>
      <c r="G172" s="45">
        <f>SUM(G169:G171)</f>
        <v>369814200</v>
      </c>
      <c r="H172" s="45">
        <f>SUM(H169:H171)</f>
        <v>0</v>
      </c>
      <c r="I172" s="34"/>
    </row>
    <row r="173" spans="1:10" x14ac:dyDescent="0.25">
      <c r="A173" s="339" t="s">
        <v>1</v>
      </c>
      <c r="B173" s="27">
        <v>45852</v>
      </c>
      <c r="C173" s="23" t="s">
        <v>114</v>
      </c>
      <c r="D173" s="24">
        <v>25700</v>
      </c>
      <c r="E173" s="24">
        <f>18830-450</f>
        <v>18380</v>
      </c>
      <c r="F173" s="24">
        <f>D173*E173</f>
        <v>472366000</v>
      </c>
      <c r="G173" s="24">
        <f>F173</f>
        <v>472366000</v>
      </c>
      <c r="H173" s="24">
        <f>F173-G173</f>
        <v>0</v>
      </c>
      <c r="I173" s="26" t="s">
        <v>111</v>
      </c>
      <c r="J173" s="18">
        <f>+H173+H164+H160</f>
        <v>0</v>
      </c>
    </row>
    <row r="174" spans="1:10" x14ac:dyDescent="0.25">
      <c r="A174" s="340"/>
      <c r="B174" s="37"/>
      <c r="C174" s="23"/>
      <c r="D174" s="29"/>
      <c r="E174" s="29"/>
      <c r="F174" s="29">
        <f>D174*E174</f>
        <v>0</v>
      </c>
      <c r="G174" s="53"/>
      <c r="H174" s="24">
        <f>F174-G174</f>
        <v>0</v>
      </c>
      <c r="I174" s="26"/>
      <c r="J174" s="36"/>
    </row>
    <row r="175" spans="1:10" x14ac:dyDescent="0.25">
      <c r="A175" s="47"/>
      <c r="B175" s="40"/>
      <c r="C175" s="43"/>
      <c r="D175" s="42"/>
      <c r="E175" s="42"/>
      <c r="F175" s="42">
        <f>D175*E175</f>
        <v>0</v>
      </c>
      <c r="G175" s="54"/>
      <c r="H175" s="24">
        <f>F175-G175</f>
        <v>0</v>
      </c>
      <c r="I175" s="52"/>
      <c r="J175" s="36"/>
    </row>
    <row r="176" spans="1:10" x14ac:dyDescent="0.25">
      <c r="A176" s="30" t="s">
        <v>112</v>
      </c>
      <c r="B176" s="51"/>
      <c r="C176" s="51"/>
      <c r="D176" s="33">
        <f>SUM(D173:D175)</f>
        <v>25700</v>
      </c>
      <c r="E176" s="32"/>
      <c r="F176" s="45">
        <f>SUM(F173:F175)</f>
        <v>472366000</v>
      </c>
      <c r="G176" s="45">
        <f>SUM(G173:G175)</f>
        <v>472366000</v>
      </c>
      <c r="H176" s="45">
        <f>SUM(H173:H175)</f>
        <v>0</v>
      </c>
      <c r="I176" s="34"/>
      <c r="J176" s="18"/>
    </row>
    <row r="177" spans="1:10" x14ac:dyDescent="0.25">
      <c r="A177" s="55" t="s">
        <v>115</v>
      </c>
      <c r="B177" s="56"/>
      <c r="C177" s="56"/>
      <c r="D177" s="57">
        <f>+D163+D168+D172+D176</f>
        <v>67830</v>
      </c>
      <c r="E177" s="55"/>
      <c r="F177" s="58">
        <f>+F163+F168+F172+F176</f>
        <v>1613580500</v>
      </c>
      <c r="G177" s="58">
        <f>+G163+G168+G172+G176</f>
        <v>1613580500</v>
      </c>
      <c r="H177" s="58">
        <f>+H163+H168+H172+H176</f>
        <v>0</v>
      </c>
      <c r="I177" s="56"/>
      <c r="J177" s="18"/>
    </row>
    <row r="178" spans="1:10" x14ac:dyDescent="0.25">
      <c r="J178" s="18"/>
    </row>
    <row r="181" spans="1:10" ht="18.75" x14ac:dyDescent="0.3">
      <c r="A181" s="341" t="s">
        <v>99</v>
      </c>
      <c r="B181" s="341"/>
      <c r="C181" s="341"/>
      <c r="D181" s="341"/>
      <c r="E181" s="341"/>
      <c r="F181" s="341"/>
      <c r="G181" s="341"/>
      <c r="H181" s="341"/>
      <c r="I181" s="341"/>
    </row>
    <row r="182" spans="1:10" x14ac:dyDescent="0.25">
      <c r="A182" s="342" t="s">
        <v>145</v>
      </c>
      <c r="B182" s="342"/>
      <c r="C182" s="342"/>
      <c r="D182" s="342"/>
      <c r="E182" s="342"/>
      <c r="F182" s="342"/>
      <c r="G182" s="342"/>
      <c r="H182" s="342"/>
      <c r="I182" s="342"/>
    </row>
    <row r="183" spans="1:10" x14ac:dyDescent="0.25">
      <c r="A183" s="17"/>
    </row>
    <row r="184" spans="1:10" x14ac:dyDescent="0.25">
      <c r="A184" s="19" t="s">
        <v>101</v>
      </c>
      <c r="B184" s="20" t="s">
        <v>102</v>
      </c>
      <c r="C184" s="20" t="s">
        <v>103</v>
      </c>
      <c r="D184" s="21" t="s">
        <v>104</v>
      </c>
      <c r="E184" s="20" t="s">
        <v>105</v>
      </c>
      <c r="F184" s="20" t="s">
        <v>106</v>
      </c>
      <c r="G184" s="20" t="s">
        <v>107</v>
      </c>
      <c r="H184" s="20" t="s">
        <v>108</v>
      </c>
      <c r="I184" s="20" t="s">
        <v>109</v>
      </c>
    </row>
    <row r="185" spans="1:10" x14ac:dyDescent="0.25">
      <c r="A185" s="343" t="s">
        <v>2</v>
      </c>
      <c r="B185" s="22">
        <v>45883</v>
      </c>
      <c r="C185" s="23" t="s">
        <v>146</v>
      </c>
      <c r="D185" s="24">
        <v>22140</v>
      </c>
      <c r="E185" s="24">
        <f>18800-1250</f>
        <v>17550</v>
      </c>
      <c r="F185" s="25">
        <f>D185*E185</f>
        <v>388557000</v>
      </c>
      <c r="G185" s="25">
        <f>F185</f>
        <v>388557000</v>
      </c>
      <c r="H185" s="62">
        <f>F185-G185</f>
        <v>0</v>
      </c>
      <c r="I185" s="26" t="s">
        <v>119</v>
      </c>
      <c r="J185" s="36"/>
    </row>
    <row r="186" spans="1:10" x14ac:dyDescent="0.25">
      <c r="A186" s="345"/>
      <c r="B186" s="27"/>
      <c r="C186" s="28"/>
      <c r="D186" s="29"/>
      <c r="E186" s="29"/>
      <c r="F186" s="29">
        <f>D186*E186</f>
        <v>0</v>
      </c>
      <c r="G186" s="28"/>
      <c r="H186" s="25">
        <f>F186-G186</f>
        <v>0</v>
      </c>
      <c r="I186" s="26"/>
    </row>
    <row r="187" spans="1:10" x14ac:dyDescent="0.25">
      <c r="A187" s="344"/>
      <c r="B187" s="27"/>
      <c r="C187" s="28"/>
      <c r="D187" s="42"/>
      <c r="E187" s="42"/>
      <c r="F187" s="42">
        <f>D187*E187</f>
        <v>0</v>
      </c>
      <c r="G187" s="43"/>
      <c r="H187" s="25">
        <f>F187-G187</f>
        <v>0</v>
      </c>
      <c r="I187" s="52"/>
    </row>
    <row r="188" spans="1:10" x14ac:dyDescent="0.25">
      <c r="A188" s="30" t="s">
        <v>112</v>
      </c>
      <c r="B188" s="31"/>
      <c r="C188" s="32"/>
      <c r="D188" s="33">
        <f>SUM(D185:D186)</f>
        <v>22140</v>
      </c>
      <c r="E188" s="33"/>
      <c r="F188" s="33">
        <f>SUM(F185:F187)</f>
        <v>388557000</v>
      </c>
      <c r="G188" s="33">
        <f>SUM(G185:G186)</f>
        <v>388557000</v>
      </c>
      <c r="H188" s="33">
        <f>SUM(H185:H187)</f>
        <v>0</v>
      </c>
      <c r="I188" s="34"/>
    </row>
    <row r="189" spans="1:10" x14ac:dyDescent="0.25">
      <c r="A189" s="343" t="s">
        <v>0</v>
      </c>
      <c r="B189" s="27">
        <v>45874</v>
      </c>
      <c r="C189" s="23" t="s">
        <v>114</v>
      </c>
      <c r="D189" s="24">
        <v>25659</v>
      </c>
      <c r="E189" s="24">
        <f>19060-700</f>
        <v>18360</v>
      </c>
      <c r="F189" s="25">
        <f>D189*E189</f>
        <v>471099240</v>
      </c>
      <c r="G189" s="25">
        <f>F189</f>
        <v>471099240</v>
      </c>
      <c r="H189" s="25">
        <f>F189-G189</f>
        <v>0</v>
      </c>
      <c r="I189" s="26" t="s">
        <v>111</v>
      </c>
    </row>
    <row r="190" spans="1:10" x14ac:dyDescent="0.25">
      <c r="A190" s="345"/>
      <c r="B190" s="22">
        <v>45887</v>
      </c>
      <c r="C190" s="23" t="s">
        <v>136</v>
      </c>
      <c r="D190" s="35">
        <v>22783</v>
      </c>
      <c r="E190" s="35">
        <f>18070-650</f>
        <v>17420</v>
      </c>
      <c r="F190" s="35">
        <f>D190*E190</f>
        <v>396879860</v>
      </c>
      <c r="G190" s="46">
        <f>F190</f>
        <v>396879860</v>
      </c>
      <c r="H190" s="25">
        <f>F190-G190</f>
        <v>0</v>
      </c>
      <c r="I190" s="26" t="s">
        <v>147</v>
      </c>
      <c r="J190" s="36"/>
    </row>
    <row r="191" spans="1:10" x14ac:dyDescent="0.25">
      <c r="A191" s="345"/>
      <c r="B191" s="37"/>
      <c r="C191" s="38"/>
      <c r="D191" s="29"/>
      <c r="E191" s="29"/>
      <c r="F191" s="29">
        <f>D191*E191</f>
        <v>0</v>
      </c>
      <c r="G191" s="28"/>
      <c r="H191" s="39">
        <f>F191-G191</f>
        <v>0</v>
      </c>
      <c r="I191" s="28"/>
    </row>
    <row r="192" spans="1:10" x14ac:dyDescent="0.25">
      <c r="A192" s="344"/>
      <c r="B192" s="40"/>
      <c r="C192" s="41"/>
      <c r="D192" s="42"/>
      <c r="E192" s="42"/>
      <c r="F192" s="42">
        <f>D192*E192</f>
        <v>0</v>
      </c>
      <c r="G192" s="43"/>
      <c r="H192" s="44">
        <f>F192-G192</f>
        <v>0</v>
      </c>
      <c r="I192" s="28"/>
      <c r="J192" s="36"/>
    </row>
    <row r="193" spans="1:11" x14ac:dyDescent="0.25">
      <c r="A193" s="30" t="s">
        <v>112</v>
      </c>
      <c r="B193" s="31"/>
      <c r="C193" s="32"/>
      <c r="D193" s="33">
        <f>SUM(D189:D191)</f>
        <v>48442</v>
      </c>
      <c r="E193" s="33"/>
      <c r="F193" s="45">
        <f>SUM(F189:F192)</f>
        <v>867979100</v>
      </c>
      <c r="G193" s="45">
        <f>SUM(G189:G192)</f>
        <v>867979100</v>
      </c>
      <c r="H193" s="45">
        <f>SUM(H189:H192)</f>
        <v>0</v>
      </c>
      <c r="I193" s="34"/>
    </row>
    <row r="194" spans="1:11" x14ac:dyDescent="0.25">
      <c r="A194" s="339" t="s">
        <v>11</v>
      </c>
      <c r="B194" s="22">
        <v>45882</v>
      </c>
      <c r="C194" s="23" t="s">
        <v>136</v>
      </c>
      <c r="D194" s="35">
        <v>25150</v>
      </c>
      <c r="E194" s="35">
        <f>18800-1200</f>
        <v>17600</v>
      </c>
      <c r="F194" s="46">
        <f>D194*E194</f>
        <v>442640000</v>
      </c>
      <c r="G194" s="46">
        <f>300000000+142640000</f>
        <v>442640000</v>
      </c>
      <c r="H194" s="63">
        <f>F194-G194</f>
        <v>0</v>
      </c>
      <c r="I194" s="26" t="s">
        <v>147</v>
      </c>
      <c r="J194" s="36"/>
      <c r="K194" s="36"/>
    </row>
    <row r="195" spans="1:11" x14ac:dyDescent="0.25">
      <c r="A195" s="346"/>
      <c r="B195" s="37"/>
      <c r="C195" s="28"/>
      <c r="D195" s="29"/>
      <c r="E195" s="29"/>
      <c r="F195" s="48">
        <f>D195*E195</f>
        <v>0</v>
      </c>
      <c r="G195" s="28"/>
      <c r="H195" s="48">
        <f>F195-G195</f>
        <v>0</v>
      </c>
      <c r="I195" s="28"/>
      <c r="J195" s="36"/>
    </row>
    <row r="196" spans="1:11" x14ac:dyDescent="0.25">
      <c r="A196" s="347"/>
      <c r="B196" s="40"/>
      <c r="C196" s="28"/>
      <c r="D196" s="49"/>
      <c r="E196" s="42"/>
      <c r="F196" s="44"/>
      <c r="G196" s="43"/>
      <c r="H196" s="48">
        <f>F196-G196</f>
        <v>0</v>
      </c>
      <c r="I196" s="43"/>
    </row>
    <row r="197" spans="1:11" x14ac:dyDescent="0.25">
      <c r="A197" s="30" t="s">
        <v>112</v>
      </c>
      <c r="B197" s="50"/>
      <c r="C197" s="51"/>
      <c r="D197" s="33"/>
      <c r="E197" s="32"/>
      <c r="F197" s="45">
        <f>SUM(F194:F196)</f>
        <v>442640000</v>
      </c>
      <c r="G197" s="45">
        <f>SUM(G194:G196)</f>
        <v>442640000</v>
      </c>
      <c r="H197" s="45">
        <f>SUM(H194:H196)</f>
        <v>0</v>
      </c>
      <c r="I197" s="34"/>
    </row>
    <row r="198" spans="1:11" x14ac:dyDescent="0.25">
      <c r="A198" s="339" t="s">
        <v>1</v>
      </c>
      <c r="B198" s="27">
        <v>45871</v>
      </c>
      <c r="C198" s="23" t="s">
        <v>114</v>
      </c>
      <c r="D198" s="24">
        <v>24185</v>
      </c>
      <c r="E198" s="24">
        <v>18710</v>
      </c>
      <c r="F198" s="24">
        <f>D198*E198</f>
        <v>452501350</v>
      </c>
      <c r="G198" s="24">
        <f>F198</f>
        <v>452501350</v>
      </c>
      <c r="H198" s="24">
        <f>F198-G198</f>
        <v>0</v>
      </c>
      <c r="I198" s="26" t="s">
        <v>144</v>
      </c>
      <c r="J198" s="61">
        <v>45887</v>
      </c>
      <c r="K198" s="18"/>
    </row>
    <row r="199" spans="1:11" x14ac:dyDescent="0.25">
      <c r="A199" s="340"/>
      <c r="B199" s="37"/>
      <c r="C199" s="23"/>
      <c r="D199" s="29"/>
      <c r="E199" s="29"/>
      <c r="F199" s="29">
        <f>D199*E199</f>
        <v>0</v>
      </c>
      <c r="G199" s="29">
        <f>F199</f>
        <v>0</v>
      </c>
      <c r="H199" s="24">
        <f>F199-G199</f>
        <v>0</v>
      </c>
      <c r="I199" s="26"/>
      <c r="J199" s="61">
        <f>+J198+15</f>
        <v>45902</v>
      </c>
      <c r="K199" s="18"/>
    </row>
    <row r="200" spans="1:11" x14ac:dyDescent="0.25">
      <c r="A200" s="47"/>
      <c r="B200" s="40"/>
      <c r="C200" s="43"/>
      <c r="D200" s="42"/>
      <c r="E200" s="42"/>
      <c r="F200" s="42">
        <f>D200*E200</f>
        <v>0</v>
      </c>
      <c r="G200" s="54"/>
      <c r="H200" s="24">
        <f>F200-G200</f>
        <v>0</v>
      </c>
      <c r="I200" s="52"/>
      <c r="J200" s="36"/>
      <c r="K200" s="18"/>
    </row>
    <row r="201" spans="1:11" x14ac:dyDescent="0.25">
      <c r="A201" s="30" t="s">
        <v>112</v>
      </c>
      <c r="B201" s="51"/>
      <c r="C201" s="51"/>
      <c r="D201" s="33">
        <f>SUM(D198:D200)</f>
        <v>24185</v>
      </c>
      <c r="E201" s="32"/>
      <c r="F201" s="45">
        <f>SUM(F198:F200)</f>
        <v>452501350</v>
      </c>
      <c r="G201" s="45">
        <f>SUM(G198:G200)</f>
        <v>452501350</v>
      </c>
      <c r="H201" s="45">
        <f>SUM(H198:H200)</f>
        <v>0</v>
      </c>
      <c r="I201" s="34"/>
      <c r="K201" s="18"/>
    </row>
    <row r="202" spans="1:11" x14ac:dyDescent="0.25">
      <c r="A202" s="55" t="s">
        <v>115</v>
      </c>
      <c r="B202" s="56"/>
      <c r="C202" s="56"/>
      <c r="D202" s="57">
        <f>+D188+D193+D197+D201</f>
        <v>94767</v>
      </c>
      <c r="E202" s="55"/>
      <c r="F202" s="58">
        <f>+F188+F193+F197+F201</f>
        <v>2151677450</v>
      </c>
      <c r="G202" s="58">
        <f>+G188+G193+G197+G201</f>
        <v>2151677450</v>
      </c>
      <c r="H202" s="58">
        <f>+H188+H193+H197+H201</f>
        <v>0</v>
      </c>
      <c r="I202" s="56"/>
      <c r="K202" s="18"/>
    </row>
    <row r="203" spans="1:11" x14ac:dyDescent="0.25">
      <c r="K203" s="18"/>
    </row>
    <row r="204" spans="1:11" x14ac:dyDescent="0.25">
      <c r="K204" s="18"/>
    </row>
    <row r="205" spans="1:11" x14ac:dyDescent="0.25">
      <c r="K205" s="18"/>
    </row>
    <row r="206" spans="1:11" x14ac:dyDescent="0.25">
      <c r="K206" s="18"/>
    </row>
    <row r="207" spans="1:11" ht="18.75" x14ac:dyDescent="0.3">
      <c r="A207" s="341" t="s">
        <v>99</v>
      </c>
      <c r="B207" s="341"/>
      <c r="C207" s="341"/>
      <c r="D207" s="341"/>
      <c r="E207" s="341"/>
      <c r="F207" s="341"/>
      <c r="G207" s="341"/>
      <c r="H207" s="341"/>
      <c r="I207" s="341"/>
      <c r="K207" s="18"/>
    </row>
    <row r="208" spans="1:11" x14ac:dyDescent="0.25">
      <c r="A208" s="342" t="s">
        <v>148</v>
      </c>
      <c r="B208" s="342"/>
      <c r="C208" s="342"/>
      <c r="D208" s="342"/>
      <c r="E208" s="342"/>
      <c r="F208" s="342"/>
      <c r="G208" s="342"/>
      <c r="H208" s="342"/>
      <c r="I208" s="342"/>
      <c r="K208" s="36"/>
    </row>
    <row r="209" spans="1:11" x14ac:dyDescent="0.25">
      <c r="A209" s="17"/>
    </row>
    <row r="210" spans="1:11" ht="19.5" customHeight="1" x14ac:dyDescent="0.25">
      <c r="A210" s="19" t="s">
        <v>101</v>
      </c>
      <c r="B210" s="20" t="s">
        <v>102</v>
      </c>
      <c r="C210" s="20" t="s">
        <v>103</v>
      </c>
      <c r="D210" s="21" t="s">
        <v>104</v>
      </c>
      <c r="E210" s="20" t="s">
        <v>105</v>
      </c>
      <c r="F210" s="20" t="s">
        <v>106</v>
      </c>
      <c r="G210" s="20" t="s">
        <v>107</v>
      </c>
      <c r="H210" s="20" t="s">
        <v>108</v>
      </c>
      <c r="I210" s="20" t="s">
        <v>109</v>
      </c>
      <c r="K210" s="18">
        <v>630993800</v>
      </c>
    </row>
    <row r="211" spans="1:11" x14ac:dyDescent="0.25">
      <c r="A211" s="343" t="s">
        <v>2</v>
      </c>
      <c r="B211" s="22">
        <v>45914</v>
      </c>
      <c r="C211" s="23" t="s">
        <v>146</v>
      </c>
      <c r="D211" s="24">
        <v>21805</v>
      </c>
      <c r="E211" s="24">
        <f>19010-1150</f>
        <v>17860</v>
      </c>
      <c r="F211" s="25">
        <f>D211*E211</f>
        <v>389437300</v>
      </c>
      <c r="G211" s="25">
        <f>F211</f>
        <v>389437300</v>
      </c>
      <c r="H211" s="25">
        <f>F211-G211</f>
        <v>0</v>
      </c>
      <c r="I211" s="26" t="s">
        <v>149</v>
      </c>
      <c r="J211" s="18">
        <f>13525*650</f>
        <v>8791250</v>
      </c>
      <c r="K211" s="36">
        <f>+G211+J211</f>
        <v>398228550</v>
      </c>
    </row>
    <row r="212" spans="1:11" x14ac:dyDescent="0.25">
      <c r="A212" s="345"/>
      <c r="B212" s="27"/>
      <c r="C212" s="28"/>
      <c r="D212" s="29"/>
      <c r="E212" s="29"/>
      <c r="F212" s="29">
        <f>D212*E212</f>
        <v>0</v>
      </c>
      <c r="G212" s="28"/>
      <c r="H212" s="25">
        <f>F212-G212</f>
        <v>0</v>
      </c>
      <c r="I212" s="26"/>
      <c r="J212" s="36"/>
      <c r="K212" s="18">
        <f>K210-K211</f>
        <v>232765250</v>
      </c>
    </row>
    <row r="213" spans="1:11" x14ac:dyDescent="0.25">
      <c r="A213" s="344"/>
      <c r="B213" s="27"/>
      <c r="C213" s="28"/>
      <c r="D213" s="42"/>
      <c r="E213" s="42"/>
      <c r="F213" s="42">
        <f>D213*E213</f>
        <v>0</v>
      </c>
      <c r="G213" s="43"/>
      <c r="H213" s="25">
        <f>F213-G213</f>
        <v>0</v>
      </c>
      <c r="I213" s="52"/>
      <c r="K213" s="36">
        <v>232760000</v>
      </c>
    </row>
    <row r="214" spans="1:11" x14ac:dyDescent="0.25">
      <c r="A214" s="30" t="s">
        <v>112</v>
      </c>
      <c r="B214" s="31"/>
      <c r="C214" s="32"/>
      <c r="D214" s="33"/>
      <c r="E214" s="33"/>
      <c r="F214" s="33">
        <f>SUM(F211:F213)</f>
        <v>389437300</v>
      </c>
      <c r="G214" s="33">
        <f>SUM(G211:G212)</f>
        <v>389437300</v>
      </c>
      <c r="H214" s="33">
        <f>SUM(H211:H213)</f>
        <v>0</v>
      </c>
      <c r="I214" s="34"/>
      <c r="K214" s="36">
        <f>K212-K213</f>
        <v>5250</v>
      </c>
    </row>
    <row r="215" spans="1:11" x14ac:dyDescent="0.25">
      <c r="A215" s="343" t="s">
        <v>0</v>
      </c>
      <c r="B215" s="27"/>
      <c r="C215" s="23"/>
      <c r="D215" s="24"/>
      <c r="E215" s="24"/>
      <c r="F215" s="25">
        <f>D215*E215</f>
        <v>0</v>
      </c>
      <c r="G215" s="25">
        <f>F215</f>
        <v>0</v>
      </c>
      <c r="H215" s="25">
        <f>F215-G215</f>
        <v>0</v>
      </c>
      <c r="I215" s="26"/>
      <c r="J215" s="59"/>
    </row>
    <row r="216" spans="1:11" x14ac:dyDescent="0.25">
      <c r="A216" s="345"/>
      <c r="B216" s="22"/>
      <c r="C216" s="23"/>
      <c r="D216" s="35"/>
      <c r="E216" s="35"/>
      <c r="F216" s="35">
        <f>D216*E216</f>
        <v>0</v>
      </c>
      <c r="G216" s="26"/>
      <c r="H216" s="25">
        <f>F216-G216</f>
        <v>0</v>
      </c>
      <c r="I216" s="26"/>
      <c r="J216" s="59"/>
      <c r="K216" s="36"/>
    </row>
    <row r="217" spans="1:11" x14ac:dyDescent="0.25">
      <c r="A217" s="345"/>
      <c r="B217" s="37"/>
      <c r="C217" s="38"/>
      <c r="D217" s="29"/>
      <c r="E217" s="29"/>
      <c r="F217" s="29">
        <f>D217*E217</f>
        <v>0</v>
      </c>
      <c r="G217" s="28"/>
      <c r="H217" s="39">
        <f>F217-G217</f>
        <v>0</v>
      </c>
      <c r="I217" s="28"/>
      <c r="K217" s="36"/>
    </row>
    <row r="218" spans="1:11" x14ac:dyDescent="0.25">
      <c r="A218" s="344"/>
      <c r="B218" s="40"/>
      <c r="C218" s="41"/>
      <c r="D218" s="42"/>
      <c r="E218" s="42"/>
      <c r="F218" s="42">
        <f>D218*E218</f>
        <v>0</v>
      </c>
      <c r="G218" s="43"/>
      <c r="H218" s="44">
        <f>F218-G218</f>
        <v>0</v>
      </c>
      <c r="I218" s="28"/>
    </row>
    <row r="219" spans="1:11" x14ac:dyDescent="0.25">
      <c r="A219" s="30" t="s">
        <v>112</v>
      </c>
      <c r="B219" s="31"/>
      <c r="C219" s="32"/>
      <c r="D219" s="33"/>
      <c r="E219" s="33"/>
      <c r="F219" s="45">
        <f>SUM(F215:F218)</f>
        <v>0</v>
      </c>
      <c r="G219" s="45">
        <f>SUM(G215:G218)</f>
        <v>0</v>
      </c>
      <c r="H219" s="45">
        <f>SUM(H215:H218)</f>
        <v>0</v>
      </c>
      <c r="I219" s="34"/>
      <c r="J219" s="64"/>
      <c r="K219" s="36"/>
    </row>
    <row r="220" spans="1:11" x14ac:dyDescent="0.25">
      <c r="A220" s="339" t="s">
        <v>11</v>
      </c>
      <c r="B220" s="22">
        <v>45919</v>
      </c>
      <c r="C220" s="23" t="s">
        <v>138</v>
      </c>
      <c r="D220" s="35">
        <v>32948</v>
      </c>
      <c r="E220" s="35">
        <f>18700-850</f>
        <v>17850</v>
      </c>
      <c r="F220" s="46">
        <f>D220*E220</f>
        <v>588121800</v>
      </c>
      <c r="G220" s="46">
        <f>F220</f>
        <v>588121800</v>
      </c>
      <c r="H220" s="46">
        <f>F220-G220</f>
        <v>0</v>
      </c>
      <c r="I220" s="26" t="s">
        <v>150</v>
      </c>
      <c r="J220" s="36" t="s">
        <v>151</v>
      </c>
      <c r="K220" s="36"/>
    </row>
    <row r="221" spans="1:11" x14ac:dyDescent="0.25">
      <c r="A221" s="346"/>
      <c r="B221" s="37"/>
      <c r="C221" s="28"/>
      <c r="D221" s="29"/>
      <c r="E221" s="29"/>
      <c r="F221" s="48">
        <f>D221*E221</f>
        <v>0</v>
      </c>
      <c r="G221" s="28"/>
      <c r="H221" s="48">
        <f>F221-G221</f>
        <v>0</v>
      </c>
      <c r="I221" s="28"/>
      <c r="J221" s="61">
        <f>+B226+155</f>
        <v>155</v>
      </c>
      <c r="K221" s="36"/>
    </row>
    <row r="222" spans="1:11" x14ac:dyDescent="0.25">
      <c r="A222" s="347"/>
      <c r="B222" s="40"/>
      <c r="C222" s="28"/>
      <c r="D222" s="49"/>
      <c r="E222" s="42"/>
      <c r="F222" s="44"/>
      <c r="G222" s="43"/>
      <c r="H222" s="48">
        <f>F222-G222</f>
        <v>0</v>
      </c>
      <c r="I222" s="43"/>
      <c r="J222" s="65"/>
      <c r="K222" s="36"/>
    </row>
    <row r="223" spans="1:11" x14ac:dyDescent="0.25">
      <c r="A223" s="30" t="s">
        <v>112</v>
      </c>
      <c r="B223" s="50"/>
      <c r="C223" s="51"/>
      <c r="D223" s="33"/>
      <c r="E223" s="32"/>
      <c r="F223" s="45">
        <f>SUM(F220:F222)</f>
        <v>588121800</v>
      </c>
      <c r="G223" s="45">
        <f>SUM(G220:G222)</f>
        <v>588121800</v>
      </c>
      <c r="H223" s="45">
        <f>SUM(H220:H222)</f>
        <v>0</v>
      </c>
      <c r="I223" s="34"/>
      <c r="J223" s="59"/>
      <c r="K223" s="18"/>
    </row>
    <row r="224" spans="1:11" x14ac:dyDescent="0.25">
      <c r="A224" s="346" t="s">
        <v>1</v>
      </c>
      <c r="B224" s="27">
        <v>45903</v>
      </c>
      <c r="C224" s="23" t="s">
        <v>146</v>
      </c>
      <c r="D224" s="24">
        <v>30637</v>
      </c>
      <c r="E224" s="24">
        <f>18350-500</f>
        <v>17850</v>
      </c>
      <c r="F224" s="24">
        <f>D224*E224</f>
        <v>546870450</v>
      </c>
      <c r="G224" s="24">
        <f>F224</f>
        <v>546870450</v>
      </c>
      <c r="H224" s="24">
        <f>F224-G224</f>
        <v>0</v>
      </c>
      <c r="I224" s="23" t="s">
        <v>111</v>
      </c>
      <c r="J224" s="18"/>
      <c r="K224" s="66"/>
    </row>
    <row r="225" spans="1:13" x14ac:dyDescent="0.25">
      <c r="A225" s="340"/>
      <c r="B225" s="37">
        <v>45927</v>
      </c>
      <c r="C225" s="23" t="s">
        <v>138</v>
      </c>
      <c r="D225" s="29">
        <v>22000</v>
      </c>
      <c r="E225" s="29">
        <f>18650-700</f>
        <v>17950</v>
      </c>
      <c r="F225" s="29">
        <f>D225*E225</f>
        <v>394900000</v>
      </c>
      <c r="G225" s="29">
        <f>F225</f>
        <v>394900000</v>
      </c>
      <c r="H225" s="24">
        <f>F225-G225</f>
        <v>0</v>
      </c>
      <c r="I225" s="26" t="s">
        <v>152</v>
      </c>
      <c r="J225" s="36" t="s">
        <v>153</v>
      </c>
      <c r="K225" s="36">
        <f>(4000*E225)/1.08*10%</f>
        <v>6648148.1481481483</v>
      </c>
      <c r="L225" s="36">
        <f>+H225+K225</f>
        <v>6648148.1481481483</v>
      </c>
    </row>
    <row r="226" spans="1:13" x14ac:dyDescent="0.25">
      <c r="A226" s="47"/>
      <c r="B226" s="40"/>
      <c r="C226" s="43"/>
      <c r="D226" s="42"/>
      <c r="E226" s="42"/>
      <c r="F226" s="42">
        <f>D226*E226</f>
        <v>0</v>
      </c>
      <c r="G226" s="54"/>
      <c r="H226" s="24">
        <f>F226-G226</f>
        <v>0</v>
      </c>
      <c r="I226" s="52"/>
      <c r="J226" s="65"/>
      <c r="K226" s="18"/>
      <c r="L226" s="36"/>
    </row>
    <row r="227" spans="1:13" x14ac:dyDescent="0.25">
      <c r="A227" s="30" t="s">
        <v>112</v>
      </c>
      <c r="B227" s="51"/>
      <c r="C227" s="51"/>
      <c r="D227" s="33">
        <f>SUM(D224:D226)</f>
        <v>52637</v>
      </c>
      <c r="E227" s="32"/>
      <c r="F227" s="45">
        <f>SUM(F224:F226)</f>
        <v>941770450</v>
      </c>
      <c r="G227" s="45">
        <f>SUM(G224:G226)</f>
        <v>941770450</v>
      </c>
      <c r="H227" s="45">
        <f>SUM(H224:H226)</f>
        <v>0</v>
      </c>
      <c r="I227" s="34"/>
      <c r="J227" s="65">
        <f>H225/1.08</f>
        <v>0</v>
      </c>
      <c r="K227" s="36">
        <f>J227*0.08</f>
        <v>0</v>
      </c>
      <c r="L227" s="36">
        <f>4000*E225/1.08</f>
        <v>66481481.481481478</v>
      </c>
    </row>
    <row r="228" spans="1:13" x14ac:dyDescent="0.25">
      <c r="A228" s="55" t="s">
        <v>115</v>
      </c>
      <c r="B228" s="56"/>
      <c r="C228" s="56"/>
      <c r="D228" s="57">
        <f>+D214+D219+D223+D227</f>
        <v>52637</v>
      </c>
      <c r="E228" s="55"/>
      <c r="F228" s="58">
        <f>+F214+F219+F223+F227</f>
        <v>1919329550</v>
      </c>
      <c r="G228" s="58">
        <f>+G214+G219+G223+G227</f>
        <v>1919329550</v>
      </c>
      <c r="H228" s="58">
        <f>+H214+H219+H223+H227</f>
        <v>0</v>
      </c>
      <c r="I228" s="56"/>
      <c r="K228" s="36">
        <f>SUM(K225:K227)</f>
        <v>6648148.1481481483</v>
      </c>
      <c r="L228" s="36">
        <f>L227*2%</f>
        <v>1329629.6296296297</v>
      </c>
    </row>
    <row r="229" spans="1:13" x14ac:dyDescent="0.25">
      <c r="E229" s="36"/>
      <c r="L229" s="36">
        <f>+L228+34570370</f>
        <v>35899999.629629627</v>
      </c>
    </row>
    <row r="230" spans="1:13" x14ac:dyDescent="0.25">
      <c r="B230" s="64"/>
      <c r="E230" s="36"/>
      <c r="H230" s="36"/>
      <c r="I230" s="18"/>
      <c r="J230" s="18"/>
      <c r="K230" s="18"/>
      <c r="L230" s="18"/>
      <c r="M230" s="18"/>
    </row>
    <row r="231" spans="1:13" x14ac:dyDescent="0.25">
      <c r="H231" s="18"/>
      <c r="I231" s="18">
        <f>265990300+833823300</f>
        <v>1099813600</v>
      </c>
      <c r="J231" s="18"/>
      <c r="K231" s="18"/>
      <c r="L231" s="18"/>
      <c r="M231" s="18"/>
    </row>
    <row r="232" spans="1:13" x14ac:dyDescent="0.25">
      <c r="H232" s="18"/>
      <c r="I232" s="18"/>
      <c r="J232" s="18"/>
      <c r="K232" s="18"/>
      <c r="L232" s="18"/>
      <c r="M232" s="18"/>
    </row>
    <row r="233" spans="1:13" x14ac:dyDescent="0.25">
      <c r="H233" s="18"/>
      <c r="I233" s="18"/>
      <c r="J233" s="18"/>
      <c r="K233" s="18"/>
      <c r="L233" s="18"/>
      <c r="M233" s="18"/>
    </row>
    <row r="234" spans="1:13" ht="18.75" x14ac:dyDescent="0.3">
      <c r="A234" s="341" t="s">
        <v>99</v>
      </c>
      <c r="B234" s="341"/>
      <c r="C234" s="341"/>
      <c r="D234" s="341"/>
      <c r="E234" s="341"/>
      <c r="F234" s="341"/>
      <c r="G234" s="341"/>
      <c r="H234" s="341"/>
      <c r="I234" s="341"/>
      <c r="K234" s="36"/>
      <c r="L234" s="36"/>
    </row>
    <row r="235" spans="1:13" x14ac:dyDescent="0.25">
      <c r="A235" s="342" t="s">
        <v>154</v>
      </c>
      <c r="B235" s="342"/>
      <c r="C235" s="342"/>
      <c r="D235" s="342"/>
      <c r="E235" s="342"/>
      <c r="F235" s="342"/>
      <c r="G235" s="342"/>
      <c r="H235" s="342"/>
      <c r="I235" s="342"/>
    </row>
    <row r="236" spans="1:13" x14ac:dyDescent="0.25">
      <c r="A236" s="17"/>
      <c r="K236" s="36"/>
      <c r="M236" s="36">
        <f>M233-M230-L231-K234</f>
        <v>0</v>
      </c>
    </row>
    <row r="237" spans="1:13" x14ac:dyDescent="0.25">
      <c r="A237" s="19" t="s">
        <v>101</v>
      </c>
      <c r="B237" s="20" t="s">
        <v>102</v>
      </c>
      <c r="C237" s="20" t="s">
        <v>103</v>
      </c>
      <c r="D237" s="21" t="s">
        <v>104</v>
      </c>
      <c r="E237" s="20" t="s">
        <v>105</v>
      </c>
      <c r="F237" s="20" t="s">
        <v>106</v>
      </c>
      <c r="G237" s="20" t="s">
        <v>107</v>
      </c>
      <c r="H237" s="20" t="s">
        <v>108</v>
      </c>
      <c r="I237" s="20" t="s">
        <v>109</v>
      </c>
      <c r="K237" s="36"/>
      <c r="M237" s="36"/>
    </row>
    <row r="238" spans="1:13" ht="19.5" customHeight="1" x14ac:dyDescent="0.25">
      <c r="A238" s="343" t="s">
        <v>2</v>
      </c>
      <c r="B238" s="22">
        <v>45944</v>
      </c>
      <c r="C238" s="23" t="s">
        <v>146</v>
      </c>
      <c r="D238" s="24">
        <v>21805</v>
      </c>
      <c r="E238" s="24">
        <f>18970-1050</f>
        <v>17920</v>
      </c>
      <c r="F238" s="25">
        <f>D238*E238</f>
        <v>390745600</v>
      </c>
      <c r="G238" s="25">
        <f>F238</f>
        <v>390745600</v>
      </c>
      <c r="H238" s="25">
        <f>F238-G238</f>
        <v>0</v>
      </c>
      <c r="I238" s="26" t="s">
        <v>149</v>
      </c>
      <c r="J238" s="36"/>
      <c r="K238" s="36"/>
      <c r="L238" s="18"/>
    </row>
    <row r="239" spans="1:13" x14ac:dyDescent="0.25">
      <c r="A239" s="345"/>
      <c r="B239" s="27"/>
      <c r="C239" s="28"/>
      <c r="D239" s="29"/>
      <c r="E239" s="29"/>
      <c r="F239" s="29">
        <f>D239*E239</f>
        <v>0</v>
      </c>
      <c r="G239" s="28"/>
      <c r="H239" s="25">
        <f>F239-G239</f>
        <v>0</v>
      </c>
      <c r="I239" s="26"/>
      <c r="J239" s="18"/>
      <c r="K239" s="36"/>
      <c r="L239" s="18"/>
    </row>
    <row r="240" spans="1:13" x14ac:dyDescent="0.25">
      <c r="A240" s="344"/>
      <c r="B240" s="27"/>
      <c r="C240" s="28"/>
      <c r="D240" s="42"/>
      <c r="E240" s="42"/>
      <c r="F240" s="42">
        <f>D240*E240</f>
        <v>0</v>
      </c>
      <c r="G240" s="43"/>
      <c r="H240" s="25">
        <f>F240-G240</f>
        <v>0</v>
      </c>
      <c r="I240" s="52"/>
      <c r="J240" s="36"/>
      <c r="K240" s="36"/>
      <c r="L240" s="18"/>
    </row>
    <row r="241" spans="1:12" x14ac:dyDescent="0.25">
      <c r="A241" s="30" t="s">
        <v>112</v>
      </c>
      <c r="B241" s="31"/>
      <c r="C241" s="32"/>
      <c r="D241" s="33"/>
      <c r="E241" s="33"/>
      <c r="F241" s="33">
        <f>SUM(F238:F240)</f>
        <v>390745600</v>
      </c>
      <c r="G241" s="33">
        <f>SUM(G238:G239)</f>
        <v>390745600</v>
      </c>
      <c r="H241" s="33">
        <f>SUM(H238:H240)</f>
        <v>0</v>
      </c>
      <c r="I241" s="34"/>
      <c r="K241" s="36"/>
      <c r="L241" s="18"/>
    </row>
    <row r="242" spans="1:12" x14ac:dyDescent="0.25">
      <c r="A242" s="343" t="s">
        <v>0</v>
      </c>
      <c r="B242" s="27">
        <v>45955</v>
      </c>
      <c r="C242" s="23" t="s">
        <v>181</v>
      </c>
      <c r="D242" s="24">
        <v>15767</v>
      </c>
      <c r="E242" s="24">
        <f>17880+650</f>
        <v>18530</v>
      </c>
      <c r="F242" s="25">
        <f>D242*E242</f>
        <v>292162510</v>
      </c>
      <c r="G242" s="25">
        <f>F242</f>
        <v>292162510</v>
      </c>
      <c r="H242" s="25">
        <f>F242-G242</f>
        <v>0</v>
      </c>
      <c r="I242" s="26" t="s">
        <v>119</v>
      </c>
      <c r="J242" s="59">
        <f>B242+15</f>
        <v>45970</v>
      </c>
      <c r="K242" s="36"/>
    </row>
    <row r="243" spans="1:12" x14ac:dyDescent="0.25">
      <c r="A243" s="345"/>
      <c r="B243" s="37"/>
      <c r="C243" s="38"/>
      <c r="D243" s="29"/>
      <c r="E243" s="29"/>
      <c r="F243" s="29">
        <f>D243*E243</f>
        <v>0</v>
      </c>
      <c r="G243" s="28"/>
      <c r="H243" s="39">
        <f>F243-G243</f>
        <v>0</v>
      </c>
      <c r="I243" s="28"/>
    </row>
    <row r="244" spans="1:12" x14ac:dyDescent="0.25">
      <c r="A244" s="344"/>
      <c r="B244" s="40"/>
      <c r="C244" s="41"/>
      <c r="D244" s="42"/>
      <c r="E244" s="42"/>
      <c r="F244" s="42">
        <f>D244*E244</f>
        <v>0</v>
      </c>
      <c r="G244" s="43"/>
      <c r="H244" s="44">
        <f>F244-G244</f>
        <v>0</v>
      </c>
      <c r="I244" s="28"/>
    </row>
    <row r="245" spans="1:12" x14ac:dyDescent="0.25">
      <c r="A245" s="30" t="s">
        <v>112</v>
      </c>
      <c r="B245" s="31"/>
      <c r="C245" s="32"/>
      <c r="D245" s="33"/>
      <c r="E245" s="33"/>
      <c r="F245" s="45">
        <f>SUM(F242:F244)</f>
        <v>292162510</v>
      </c>
      <c r="G245" s="45">
        <f>SUM(G242:G244)</f>
        <v>292162510</v>
      </c>
      <c r="H245" s="45">
        <f>SUM(H242:H244)</f>
        <v>0</v>
      </c>
      <c r="I245" s="34"/>
      <c r="L245" s="65"/>
    </row>
    <row r="246" spans="1:12" x14ac:dyDescent="0.25">
      <c r="A246" s="339" t="s">
        <v>11</v>
      </c>
      <c r="B246" s="22">
        <v>45953</v>
      </c>
      <c r="C246" s="23" t="s">
        <v>181</v>
      </c>
      <c r="D246" s="35">
        <v>15767</v>
      </c>
      <c r="E246" s="35">
        <f>18420-700</f>
        <v>17720</v>
      </c>
      <c r="F246" s="46">
        <f>D246*E246</f>
        <v>279391240</v>
      </c>
      <c r="G246" s="46">
        <f>F246</f>
        <v>279391240</v>
      </c>
      <c r="H246" s="46">
        <f>F246-G246</f>
        <v>0</v>
      </c>
      <c r="I246" s="26" t="s">
        <v>119</v>
      </c>
      <c r="J246" s="250">
        <f>+B246+15</f>
        <v>45968</v>
      </c>
      <c r="K246" s="36"/>
    </row>
    <row r="247" spans="1:12" x14ac:dyDescent="0.25">
      <c r="A247" s="346"/>
      <c r="B247" s="37"/>
      <c r="C247" s="28"/>
      <c r="D247" s="29"/>
      <c r="E247" s="29"/>
      <c r="F247" s="48">
        <f>D247*E247</f>
        <v>0</v>
      </c>
      <c r="G247" s="28"/>
      <c r="H247" s="48">
        <f>F247-G247</f>
        <v>0</v>
      </c>
      <c r="I247" s="28"/>
      <c r="J247" s="18"/>
    </row>
    <row r="248" spans="1:12" x14ac:dyDescent="0.25">
      <c r="A248" s="347"/>
      <c r="B248" s="40"/>
      <c r="C248" s="28"/>
      <c r="D248" s="49"/>
      <c r="E248" s="42"/>
      <c r="F248" s="44"/>
      <c r="G248" s="43"/>
      <c r="H248" s="48">
        <f>F248-G248</f>
        <v>0</v>
      </c>
      <c r="I248" s="43"/>
      <c r="J248" s="36"/>
    </row>
    <row r="249" spans="1:12" x14ac:dyDescent="0.25">
      <c r="A249" s="30" t="s">
        <v>112</v>
      </c>
      <c r="B249" s="50"/>
      <c r="C249" s="51"/>
      <c r="D249" s="33"/>
      <c r="E249" s="32"/>
      <c r="F249" s="45">
        <f>SUM(F246:F248)</f>
        <v>279391240</v>
      </c>
      <c r="G249" s="45">
        <f>SUM(G246:G248)</f>
        <v>279391240</v>
      </c>
      <c r="H249" s="45">
        <f>SUM(H246:H248)</f>
        <v>0</v>
      </c>
      <c r="I249" s="34"/>
    </row>
    <row r="250" spans="1:12" x14ac:dyDescent="0.25">
      <c r="A250" s="348" t="s">
        <v>65</v>
      </c>
      <c r="B250" s="251">
        <v>45939</v>
      </c>
      <c r="C250" s="252" t="s">
        <v>182</v>
      </c>
      <c r="D250" s="253">
        <v>10010</v>
      </c>
      <c r="E250" s="253">
        <f>19030-1100</f>
        <v>17930</v>
      </c>
      <c r="F250" s="254">
        <f>D250*E250</f>
        <v>179479300</v>
      </c>
      <c r="G250" s="254">
        <f>F250</f>
        <v>179479300</v>
      </c>
      <c r="H250" s="48">
        <f>F250-G250</f>
        <v>0</v>
      </c>
      <c r="I250" s="252" t="s">
        <v>183</v>
      </c>
      <c r="J250" s="59"/>
    </row>
    <row r="251" spans="1:12" x14ac:dyDescent="0.25">
      <c r="A251" s="349"/>
      <c r="B251" s="255"/>
      <c r="C251" s="256"/>
      <c r="D251" s="257"/>
      <c r="E251" s="258"/>
      <c r="F251" s="259"/>
      <c r="G251" s="259"/>
      <c r="H251" s="259"/>
      <c r="I251" s="256"/>
      <c r="J251" s="36"/>
    </row>
    <row r="252" spans="1:12" x14ac:dyDescent="0.25">
      <c r="A252" s="30"/>
      <c r="B252" s="50"/>
      <c r="C252" s="51"/>
      <c r="D252" s="33"/>
      <c r="E252" s="32"/>
      <c r="F252" s="45"/>
      <c r="G252" s="45"/>
      <c r="H252" s="45"/>
      <c r="I252" s="34"/>
    </row>
    <row r="253" spans="1:12" x14ac:dyDescent="0.25">
      <c r="A253" s="346" t="s">
        <v>1</v>
      </c>
      <c r="B253" s="27">
        <v>45961</v>
      </c>
      <c r="C253" s="23" t="s">
        <v>184</v>
      </c>
      <c r="D253" s="24">
        <v>16000</v>
      </c>
      <c r="E253" s="24">
        <v>18950.004000000001</v>
      </c>
      <c r="F253" s="24">
        <f>D253*E253</f>
        <v>303200064</v>
      </c>
      <c r="G253" s="24">
        <f>F253</f>
        <v>303200064</v>
      </c>
      <c r="H253" s="24">
        <f>F253-G253</f>
        <v>0</v>
      </c>
      <c r="I253" s="23" t="s">
        <v>175</v>
      </c>
    </row>
    <row r="254" spans="1:12" x14ac:dyDescent="0.25">
      <c r="A254" s="340"/>
      <c r="B254" s="37">
        <v>45969</v>
      </c>
      <c r="C254" s="23" t="s">
        <v>176</v>
      </c>
      <c r="D254" s="29">
        <v>10000</v>
      </c>
      <c r="E254" s="29"/>
      <c r="F254" s="29">
        <f>D254*E254</f>
        <v>0</v>
      </c>
      <c r="G254" s="29"/>
      <c r="H254" s="24">
        <f>F254-G254</f>
        <v>0</v>
      </c>
      <c r="I254" s="26"/>
    </row>
    <row r="255" spans="1:12" x14ac:dyDescent="0.25">
      <c r="A255" s="47"/>
      <c r="B255" s="40"/>
      <c r="C255" s="43"/>
      <c r="D255" s="42"/>
      <c r="E255" s="42"/>
      <c r="F255" s="42">
        <f>D255*E255</f>
        <v>0</v>
      </c>
      <c r="G255" s="54"/>
      <c r="H255" s="24">
        <f>F255-G255</f>
        <v>0</v>
      </c>
      <c r="I255" s="52"/>
    </row>
    <row r="256" spans="1:12" x14ac:dyDescent="0.25">
      <c r="A256" s="30" t="s">
        <v>112</v>
      </c>
      <c r="B256" s="51"/>
      <c r="C256" s="51"/>
      <c r="D256" s="33">
        <f>SUM(D253:D255)</f>
        <v>26000</v>
      </c>
      <c r="E256" s="32"/>
      <c r="F256" s="45">
        <f>SUM(F253:F255)</f>
        <v>303200064</v>
      </c>
      <c r="G256" s="45">
        <f>SUM(G253:G255)</f>
        <v>303200064</v>
      </c>
      <c r="H256" s="45">
        <f>SUM(H253:H255)</f>
        <v>0</v>
      </c>
      <c r="I256" s="34"/>
    </row>
    <row r="257" spans="1:12" x14ac:dyDescent="0.25">
      <c r="A257" s="55" t="s">
        <v>115</v>
      </c>
      <c r="B257" s="56"/>
      <c r="C257" s="56"/>
      <c r="D257" s="57">
        <f>+D241+D245+D249+D256</f>
        <v>26000</v>
      </c>
      <c r="E257" s="55"/>
      <c r="F257" s="58">
        <f>+F241+F245+F249+F256</f>
        <v>1265499414</v>
      </c>
      <c r="G257" s="58">
        <f>+G241+G245+G249+G256</f>
        <v>1265499414</v>
      </c>
      <c r="H257" s="58">
        <f>+H241+H245+H249+H256</f>
        <v>0</v>
      </c>
      <c r="I257" s="56"/>
    </row>
    <row r="260" spans="1:12" ht="18.75" x14ac:dyDescent="0.3">
      <c r="A260" s="341" t="s">
        <v>99</v>
      </c>
      <c r="B260" s="341"/>
      <c r="C260" s="341"/>
      <c r="D260" s="341"/>
      <c r="E260" s="341"/>
      <c r="F260" s="341"/>
      <c r="G260" s="341"/>
      <c r="H260" s="341"/>
      <c r="I260" s="341"/>
    </row>
    <row r="261" spans="1:12" x14ac:dyDescent="0.25">
      <c r="A261" s="342" t="s">
        <v>155</v>
      </c>
      <c r="B261" s="342"/>
      <c r="C261" s="342"/>
      <c r="D261" s="342"/>
      <c r="E261" s="342"/>
      <c r="F261" s="342"/>
      <c r="G261" s="342"/>
      <c r="H261" s="342"/>
      <c r="I261" s="342"/>
    </row>
    <row r="262" spans="1:12" x14ac:dyDescent="0.25">
      <c r="A262" s="17"/>
    </row>
    <row r="263" spans="1:12" ht="20.25" customHeight="1" x14ac:dyDescent="0.25">
      <c r="A263" s="19" t="s">
        <v>101</v>
      </c>
      <c r="B263" s="20" t="s">
        <v>102</v>
      </c>
      <c r="C263" s="20" t="s">
        <v>103</v>
      </c>
      <c r="D263" s="21" t="s">
        <v>104</v>
      </c>
      <c r="E263" s="20" t="s">
        <v>105</v>
      </c>
      <c r="F263" s="20" t="s">
        <v>106</v>
      </c>
      <c r="G263" s="20" t="s">
        <v>107</v>
      </c>
      <c r="H263" s="20" t="s">
        <v>108</v>
      </c>
      <c r="I263" s="20" t="s">
        <v>109</v>
      </c>
    </row>
    <row r="264" spans="1:12" x14ac:dyDescent="0.25">
      <c r="A264" s="343" t="s">
        <v>2</v>
      </c>
      <c r="B264" s="22">
        <v>45979</v>
      </c>
      <c r="C264" s="23" t="s">
        <v>146</v>
      </c>
      <c r="D264" s="24">
        <v>21805</v>
      </c>
      <c r="E264" s="24">
        <v>19050</v>
      </c>
      <c r="F264" s="25">
        <f>D264*E264</f>
        <v>415385250</v>
      </c>
      <c r="G264" s="25">
        <f>F264</f>
        <v>415385250</v>
      </c>
      <c r="H264" s="25">
        <f>F264-G264</f>
        <v>0</v>
      </c>
      <c r="I264" s="26" t="s">
        <v>149</v>
      </c>
      <c r="J264" s="18">
        <f>540639000</f>
        <v>540639000</v>
      </c>
      <c r="K264" s="36">
        <f>J264-G264</f>
        <v>125253750</v>
      </c>
    </row>
    <row r="265" spans="1:12" x14ac:dyDescent="0.25">
      <c r="A265" s="345"/>
      <c r="B265" s="27">
        <v>45980</v>
      </c>
      <c r="C265" s="28"/>
      <c r="D265" s="29"/>
      <c r="E265" s="29"/>
      <c r="F265" s="29">
        <f>D265*E265</f>
        <v>0</v>
      </c>
      <c r="G265" s="28"/>
      <c r="H265" s="25">
        <f>F265-G265</f>
        <v>0</v>
      </c>
      <c r="I265" s="26"/>
      <c r="J265" s="16">
        <f>J264/28380</f>
        <v>19050</v>
      </c>
      <c r="K265" s="36">
        <f>28380-D264</f>
        <v>6575</v>
      </c>
    </row>
    <row r="266" spans="1:12" x14ac:dyDescent="0.25">
      <c r="A266" s="344"/>
      <c r="B266" s="27"/>
      <c r="C266" s="28"/>
      <c r="D266" s="42"/>
      <c r="E266" s="42"/>
      <c r="F266" s="42">
        <f>D266*E266</f>
        <v>0</v>
      </c>
      <c r="G266" s="43"/>
      <c r="H266" s="25">
        <f>F266-G266</f>
        <v>0</v>
      </c>
      <c r="I266" s="52"/>
      <c r="K266" s="36">
        <f>K265*600</f>
        <v>3945000</v>
      </c>
      <c r="L266" s="66">
        <f>K264-K266</f>
        <v>121308750</v>
      </c>
    </row>
    <row r="267" spans="1:12" x14ac:dyDescent="0.25">
      <c r="A267" s="30" t="s">
        <v>112</v>
      </c>
      <c r="B267" s="31"/>
      <c r="C267" s="32"/>
      <c r="D267" s="33">
        <f>D264</f>
        <v>21805</v>
      </c>
      <c r="E267" s="33"/>
      <c r="F267" s="33">
        <f>SUM(F264:F266)</f>
        <v>415385250</v>
      </c>
      <c r="G267" s="33">
        <f>SUM(G264:G265)</f>
        <v>415385250</v>
      </c>
      <c r="H267" s="33">
        <f>SUM(H264:H266)</f>
        <v>0</v>
      </c>
      <c r="I267" s="34"/>
      <c r="J267" s="36"/>
    </row>
    <row r="268" spans="1:12" x14ac:dyDescent="0.25">
      <c r="A268" s="343" t="s">
        <v>0</v>
      </c>
      <c r="B268" s="27">
        <v>45965</v>
      </c>
      <c r="C268" s="23" t="s">
        <v>185</v>
      </c>
      <c r="D268" s="24">
        <v>15550</v>
      </c>
      <c r="E268" s="24">
        <v>18400</v>
      </c>
      <c r="F268" s="25">
        <f>D268*E268</f>
        <v>286120000</v>
      </c>
      <c r="G268" s="25">
        <f>F268</f>
        <v>286120000</v>
      </c>
      <c r="H268" s="25">
        <f>F268-G268</f>
        <v>0</v>
      </c>
      <c r="I268" s="26" t="s">
        <v>186</v>
      </c>
    </row>
    <row r="269" spans="1:12" x14ac:dyDescent="0.25">
      <c r="A269" s="345"/>
      <c r="B269" s="22"/>
      <c r="C269" s="23"/>
      <c r="D269" s="35"/>
      <c r="E269" s="35"/>
      <c r="F269" s="35">
        <f>D269*E269</f>
        <v>0</v>
      </c>
      <c r="G269" s="26"/>
      <c r="H269" s="25">
        <f>F269-G269</f>
        <v>0</v>
      </c>
      <c r="I269" s="26"/>
    </row>
    <row r="270" spans="1:12" x14ac:dyDescent="0.25">
      <c r="A270" s="345"/>
      <c r="B270" s="37"/>
      <c r="C270" s="38"/>
      <c r="D270" s="29"/>
      <c r="E270" s="29"/>
      <c r="F270" s="29">
        <f>D270*E270</f>
        <v>0</v>
      </c>
      <c r="G270" s="28"/>
      <c r="H270" s="39">
        <f>F270-G270</f>
        <v>0</v>
      </c>
      <c r="I270" s="28"/>
    </row>
    <row r="271" spans="1:12" x14ac:dyDescent="0.25">
      <c r="A271" s="344"/>
      <c r="B271" s="40"/>
      <c r="C271" s="41"/>
      <c r="D271" s="42"/>
      <c r="E271" s="42"/>
      <c r="F271" s="42">
        <f>D271*E271</f>
        <v>0</v>
      </c>
      <c r="G271" s="43"/>
      <c r="H271" s="44">
        <f>F271-G271</f>
        <v>0</v>
      </c>
      <c r="I271" s="28"/>
      <c r="K271" s="36"/>
    </row>
    <row r="272" spans="1:12" x14ac:dyDescent="0.25">
      <c r="A272" s="30" t="s">
        <v>112</v>
      </c>
      <c r="B272" s="31"/>
      <c r="C272" s="32"/>
      <c r="D272" s="33">
        <f>D268</f>
        <v>15550</v>
      </c>
      <c r="E272" s="33"/>
      <c r="F272" s="45">
        <f>SUM(F268:F271)</f>
        <v>286120000</v>
      </c>
      <c r="G272" s="45">
        <f>SUM(G268:G271)</f>
        <v>286120000</v>
      </c>
      <c r="H272" s="45">
        <f>SUM(H268:H271)</f>
        <v>0</v>
      </c>
      <c r="I272" s="34"/>
      <c r="K272" s="36"/>
    </row>
    <row r="273" spans="1:12" x14ac:dyDescent="0.25">
      <c r="A273" s="339" t="s">
        <v>11</v>
      </c>
      <c r="B273" s="245">
        <v>45976</v>
      </c>
      <c r="C273" s="246" t="s">
        <v>187</v>
      </c>
      <c r="D273" s="247">
        <v>24979</v>
      </c>
      <c r="E273" s="247">
        <f>19810-500</f>
        <v>19310</v>
      </c>
      <c r="F273" s="248">
        <f>D273*E273</f>
        <v>482344490</v>
      </c>
      <c r="G273" s="248">
        <f>F273</f>
        <v>482344490</v>
      </c>
      <c r="H273" s="248">
        <f>F273-G273</f>
        <v>0</v>
      </c>
      <c r="I273" s="246" t="s">
        <v>188</v>
      </c>
      <c r="J273" s="59">
        <f>+B273+15</f>
        <v>45991</v>
      </c>
    </row>
    <row r="274" spans="1:12" x14ac:dyDescent="0.25">
      <c r="A274" s="346"/>
      <c r="B274" s="37"/>
      <c r="C274" s="28"/>
      <c r="D274" s="29"/>
      <c r="E274" s="29"/>
      <c r="F274" s="48">
        <f>D274*E274</f>
        <v>0</v>
      </c>
      <c r="G274" s="28"/>
      <c r="H274" s="48">
        <f>F274-G274</f>
        <v>0</v>
      </c>
      <c r="I274" s="28"/>
    </row>
    <row r="275" spans="1:12" x14ac:dyDescent="0.25">
      <c r="A275" s="30" t="s">
        <v>112</v>
      </c>
      <c r="B275" s="50"/>
      <c r="C275" s="51"/>
      <c r="D275" s="33">
        <f>D273+D274</f>
        <v>24979</v>
      </c>
      <c r="E275" s="32"/>
      <c r="F275" s="45">
        <f>+F273+F274</f>
        <v>482344490</v>
      </c>
      <c r="G275" s="45">
        <f t="shared" ref="G275:H275" si="0">+G273+G274</f>
        <v>482344490</v>
      </c>
      <c r="H275" s="45">
        <f t="shared" si="0"/>
        <v>0</v>
      </c>
      <c r="I275" s="34"/>
    </row>
    <row r="276" spans="1:12" x14ac:dyDescent="0.25">
      <c r="A276" s="339" t="s">
        <v>65</v>
      </c>
      <c r="B276" s="260">
        <v>45980</v>
      </c>
      <c r="C276" s="52" t="s">
        <v>130</v>
      </c>
      <c r="D276" s="261">
        <v>32144</v>
      </c>
      <c r="E276" s="261">
        <f>19860-1000</f>
        <v>18860</v>
      </c>
      <c r="F276" s="39">
        <f>D276*E276</f>
        <v>606235840</v>
      </c>
      <c r="G276" s="261">
        <f>F276</f>
        <v>606235840</v>
      </c>
      <c r="H276" s="39">
        <f>F276-G276</f>
        <v>0</v>
      </c>
      <c r="I276" s="52" t="s">
        <v>147</v>
      </c>
      <c r="J276" s="61">
        <f>+B276+15</f>
        <v>45995</v>
      </c>
      <c r="K276" s="262">
        <v>739010240</v>
      </c>
      <c r="L276" s="18">
        <f>F276/1.08</f>
        <v>561329481.48148143</v>
      </c>
    </row>
    <row r="277" spans="1:12" x14ac:dyDescent="0.25">
      <c r="A277" s="346"/>
      <c r="B277" s="37"/>
      <c r="C277" s="28"/>
      <c r="D277" s="29"/>
      <c r="E277" s="29"/>
      <c r="F277" s="48"/>
      <c r="G277" s="28"/>
      <c r="H277" s="48"/>
      <c r="I277" s="28"/>
      <c r="K277" s="36">
        <f>K276-F276</f>
        <v>132774400</v>
      </c>
      <c r="L277" s="18">
        <v>54741499</v>
      </c>
    </row>
    <row r="278" spans="1:12" x14ac:dyDescent="0.25">
      <c r="A278" s="30" t="s">
        <v>112</v>
      </c>
      <c r="B278" s="50"/>
      <c r="C278" s="51"/>
      <c r="D278" s="33">
        <f>D276+D277</f>
        <v>32144</v>
      </c>
      <c r="E278" s="33"/>
      <c r="F278" s="33">
        <f>F276+F277</f>
        <v>606235840</v>
      </c>
      <c r="G278" s="33">
        <f t="shared" ref="G278:H278" si="1">G276+G277</f>
        <v>606235840</v>
      </c>
      <c r="H278" s="33">
        <f t="shared" si="1"/>
        <v>0</v>
      </c>
      <c r="I278" s="34"/>
      <c r="K278" s="36"/>
      <c r="L278" s="36">
        <f>+L276+L277</f>
        <v>616070980.48148143</v>
      </c>
    </row>
    <row r="279" spans="1:12" x14ac:dyDescent="0.25">
      <c r="A279" s="339" t="s">
        <v>1</v>
      </c>
      <c r="B279" s="27">
        <v>45969</v>
      </c>
      <c r="C279" s="23" t="s">
        <v>189</v>
      </c>
      <c r="D279" s="24">
        <v>10000</v>
      </c>
      <c r="E279" s="24">
        <v>19320</v>
      </c>
      <c r="F279" s="24">
        <f>D279*E279</f>
        <v>193200000</v>
      </c>
      <c r="G279" s="24">
        <f>F279</f>
        <v>193200000</v>
      </c>
      <c r="H279" s="24">
        <f>F279-G279</f>
        <v>0</v>
      </c>
      <c r="I279" s="26" t="s">
        <v>111</v>
      </c>
      <c r="J279" s="61">
        <f>+B279+15</f>
        <v>45984</v>
      </c>
      <c r="K279" s="36"/>
      <c r="L279" s="66">
        <f>K276-L278</f>
        <v>122939259.51851857</v>
      </c>
    </row>
    <row r="280" spans="1:12" x14ac:dyDescent="0.25">
      <c r="A280" s="340"/>
      <c r="B280" s="37"/>
      <c r="C280" s="23"/>
      <c r="D280" s="29"/>
      <c r="E280" s="29"/>
      <c r="F280" s="29">
        <f>D280*E280</f>
        <v>0</v>
      </c>
      <c r="G280" s="29"/>
      <c r="H280" s="24">
        <f>F280-G280</f>
        <v>0</v>
      </c>
      <c r="I280" s="26"/>
      <c r="K280" s="36"/>
    </row>
    <row r="281" spans="1:12" x14ac:dyDescent="0.25">
      <c r="A281" s="47"/>
      <c r="B281" s="40"/>
      <c r="C281" s="43"/>
      <c r="D281" s="42"/>
      <c r="E281" s="42"/>
      <c r="F281" s="42">
        <f>D281*E281</f>
        <v>0</v>
      </c>
      <c r="G281" s="54"/>
      <c r="H281" s="24">
        <f>F281-G281</f>
        <v>0</v>
      </c>
      <c r="I281" s="52"/>
      <c r="J281" s="36"/>
      <c r="K281" s="36"/>
    </row>
    <row r="282" spans="1:12" x14ac:dyDescent="0.25">
      <c r="A282" s="30" t="s">
        <v>112</v>
      </c>
      <c r="B282" s="51"/>
      <c r="C282" s="51"/>
      <c r="D282" s="33">
        <f>SUM(D279:D281)</f>
        <v>10000</v>
      </c>
      <c r="E282" s="32"/>
      <c r="F282" s="45">
        <f>SUM(F279:F281)</f>
        <v>193200000</v>
      </c>
      <c r="G282" s="45">
        <f>SUM(G279:G281)</f>
        <v>193200000</v>
      </c>
      <c r="H282" s="45">
        <f>SUM(H279:H281)</f>
        <v>0</v>
      </c>
      <c r="I282" s="34"/>
      <c r="J282" s="36">
        <f>39184-D276</f>
        <v>7040</v>
      </c>
    </row>
    <row r="283" spans="1:12" x14ac:dyDescent="0.25">
      <c r="A283" s="55" t="s">
        <v>115</v>
      </c>
      <c r="B283" s="56"/>
      <c r="C283" s="56"/>
      <c r="D283" s="57">
        <f>+D267+D272+D278+D282</f>
        <v>79499</v>
      </c>
      <c r="E283" s="55"/>
      <c r="F283" s="58">
        <f>+F267+F272+F278+F282</f>
        <v>1500941090</v>
      </c>
      <c r="G283" s="58">
        <f>+G267+G272+G278+G282</f>
        <v>1500941090</v>
      </c>
      <c r="H283" s="58">
        <f>+H267+H272+H278+H282</f>
        <v>0</v>
      </c>
      <c r="I283" s="56"/>
      <c r="J283" s="36"/>
      <c r="K283" s="18"/>
    </row>
    <row r="284" spans="1:12" x14ac:dyDescent="0.25">
      <c r="J284" s="36"/>
    </row>
    <row r="287" spans="1:12" x14ac:dyDescent="0.25">
      <c r="J287" s="16">
        <f>3503086-22000</f>
        <v>3481086</v>
      </c>
    </row>
    <row r="289" spans="1:12" ht="18.75" x14ac:dyDescent="0.3">
      <c r="A289" s="341" t="s">
        <v>99</v>
      </c>
      <c r="B289" s="341"/>
      <c r="C289" s="341"/>
      <c r="D289" s="341"/>
      <c r="E289" s="341"/>
      <c r="F289" s="341"/>
      <c r="G289" s="341"/>
      <c r="H289" s="341"/>
      <c r="I289" s="341"/>
    </row>
    <row r="290" spans="1:12" x14ac:dyDescent="0.25">
      <c r="A290" s="342" t="s">
        <v>156</v>
      </c>
      <c r="B290" s="342"/>
      <c r="C290" s="342"/>
      <c r="D290" s="342"/>
      <c r="E290" s="342"/>
      <c r="F290" s="342"/>
      <c r="G290" s="342"/>
      <c r="H290" s="342"/>
      <c r="I290" s="342"/>
    </row>
    <row r="291" spans="1:12" x14ac:dyDescent="0.25">
      <c r="A291" s="17"/>
    </row>
    <row r="292" spans="1:12" x14ac:dyDescent="0.25">
      <c r="A292" s="19" t="s">
        <v>101</v>
      </c>
      <c r="B292" s="20" t="s">
        <v>102</v>
      </c>
      <c r="C292" s="20" t="s">
        <v>103</v>
      </c>
      <c r="D292" s="21" t="s">
        <v>104</v>
      </c>
      <c r="E292" s="20" t="s">
        <v>105</v>
      </c>
      <c r="F292" s="20" t="s">
        <v>106</v>
      </c>
      <c r="G292" s="20" t="s">
        <v>107</v>
      </c>
      <c r="H292" s="20" t="s">
        <v>108</v>
      </c>
      <c r="I292" s="20" t="s">
        <v>109</v>
      </c>
    </row>
    <row r="293" spans="1:12" x14ac:dyDescent="0.25">
      <c r="A293" s="343" t="s">
        <v>2</v>
      </c>
      <c r="B293" s="22">
        <v>46010</v>
      </c>
      <c r="C293" s="23" t="s">
        <v>146</v>
      </c>
      <c r="D293" s="24">
        <v>18380</v>
      </c>
      <c r="E293" s="24">
        <f>17810-650</f>
        <v>17160</v>
      </c>
      <c r="F293" s="25">
        <f>D293*E293</f>
        <v>315400800</v>
      </c>
      <c r="G293" s="25">
        <f>F293</f>
        <v>315400800</v>
      </c>
      <c r="H293" s="25">
        <f>F293-G293</f>
        <v>0</v>
      </c>
      <c r="I293" s="26"/>
      <c r="J293" s="36">
        <f>28380*E293</f>
        <v>487000800</v>
      </c>
    </row>
    <row r="294" spans="1:12" x14ac:dyDescent="0.25">
      <c r="A294" s="345"/>
      <c r="B294" s="27"/>
      <c r="C294" s="28"/>
      <c r="D294" s="29"/>
      <c r="E294" s="29"/>
      <c r="F294" s="29">
        <f>D294*E294</f>
        <v>0</v>
      </c>
      <c r="G294" s="28"/>
      <c r="H294" s="25">
        <f>F294-G294</f>
        <v>0</v>
      </c>
      <c r="I294" s="26"/>
      <c r="J294" s="16">
        <f>28380-18380</f>
        <v>10000</v>
      </c>
      <c r="K294" s="18">
        <f>J294*750</f>
        <v>7500000</v>
      </c>
      <c r="L294" s="36"/>
    </row>
    <row r="295" spans="1:12" x14ac:dyDescent="0.25">
      <c r="A295" s="344"/>
      <c r="B295" s="27"/>
      <c r="C295" s="28"/>
      <c r="D295" s="42"/>
      <c r="E295" s="42"/>
      <c r="F295" s="42">
        <f>D295*E295</f>
        <v>0</v>
      </c>
      <c r="G295" s="43"/>
      <c r="H295" s="25">
        <f>F295-G295</f>
        <v>0</v>
      </c>
      <c r="I295" s="52"/>
      <c r="K295" s="36">
        <f>J293-G293-K294</f>
        <v>164100000</v>
      </c>
      <c r="L295" s="65"/>
    </row>
    <row r="296" spans="1:12" x14ac:dyDescent="0.25">
      <c r="A296" s="30" t="s">
        <v>112</v>
      </c>
      <c r="B296" s="31"/>
      <c r="C296" s="32"/>
      <c r="D296" s="33">
        <f>D293</f>
        <v>18380</v>
      </c>
      <c r="E296" s="33"/>
      <c r="F296" s="33">
        <f>SUM(F293:F295)</f>
        <v>315400800</v>
      </c>
      <c r="G296" s="33">
        <f>SUM(G293:G294)</f>
        <v>315400800</v>
      </c>
      <c r="H296" s="33">
        <f>SUM(H293:H295)</f>
        <v>0</v>
      </c>
      <c r="I296" s="34"/>
      <c r="K296" s="263"/>
      <c r="L296" s="65"/>
    </row>
    <row r="297" spans="1:12" x14ac:dyDescent="0.25">
      <c r="A297" s="343" t="s">
        <v>0</v>
      </c>
      <c r="B297" s="27">
        <v>45995</v>
      </c>
      <c r="C297" s="23" t="s">
        <v>172</v>
      </c>
      <c r="D297" s="24">
        <v>28000</v>
      </c>
      <c r="E297" s="24">
        <f>18800-350</f>
        <v>18450</v>
      </c>
      <c r="F297" s="25">
        <f>D297*E297</f>
        <v>516600000</v>
      </c>
      <c r="G297" s="25">
        <f>F297</f>
        <v>516600000</v>
      </c>
      <c r="H297" s="25">
        <f>F297-G297</f>
        <v>0</v>
      </c>
      <c r="I297" s="26" t="s">
        <v>173</v>
      </c>
      <c r="J297" s="59">
        <f>+B297+15</f>
        <v>46010</v>
      </c>
      <c r="K297" s="36"/>
      <c r="L297" s="18"/>
    </row>
    <row r="298" spans="1:12" x14ac:dyDescent="0.25">
      <c r="A298" s="345"/>
      <c r="B298" s="22"/>
      <c r="C298" s="23"/>
      <c r="D298" s="35"/>
      <c r="E298" s="35"/>
      <c r="F298" s="35">
        <f>D298*E298</f>
        <v>0</v>
      </c>
      <c r="G298" s="26"/>
      <c r="H298" s="25">
        <f>F298-G298</f>
        <v>0</v>
      </c>
      <c r="I298" s="26"/>
      <c r="L298" s="18"/>
    </row>
    <row r="299" spans="1:12" x14ac:dyDescent="0.25">
      <c r="A299" s="345"/>
      <c r="B299" s="37"/>
      <c r="C299" s="38"/>
      <c r="D299" s="29"/>
      <c r="E299" s="29"/>
      <c r="F299" s="29">
        <f>D299*E299</f>
        <v>0</v>
      </c>
      <c r="G299" s="28"/>
      <c r="H299" s="39">
        <f>F299-G299</f>
        <v>0</v>
      </c>
      <c r="I299" s="28"/>
      <c r="K299" s="264"/>
      <c r="L299" s="18"/>
    </row>
    <row r="300" spans="1:12" x14ac:dyDescent="0.25">
      <c r="A300" s="344"/>
      <c r="B300" s="40"/>
      <c r="C300" s="41"/>
      <c r="D300" s="42"/>
      <c r="E300" s="42"/>
      <c r="F300" s="42">
        <f>D300*E300</f>
        <v>0</v>
      </c>
      <c r="G300" s="43"/>
      <c r="H300" s="44">
        <f>F300-G300</f>
        <v>0</v>
      </c>
      <c r="I300" s="28"/>
      <c r="J300" s="36">
        <f>J293/28380</f>
        <v>17160</v>
      </c>
      <c r="L300" s="18"/>
    </row>
    <row r="301" spans="1:12" x14ac:dyDescent="0.25">
      <c r="A301" s="30" t="s">
        <v>112</v>
      </c>
      <c r="B301" s="31"/>
      <c r="C301" s="32"/>
      <c r="D301" s="33">
        <f>D297</f>
        <v>28000</v>
      </c>
      <c r="E301" s="33"/>
      <c r="F301" s="45">
        <f>SUM(F297:F300)</f>
        <v>516600000</v>
      </c>
      <c r="G301" s="45">
        <f>SUM(G297:G300)</f>
        <v>516600000</v>
      </c>
      <c r="H301" s="45">
        <f>SUM(H297:H300)</f>
        <v>0</v>
      </c>
      <c r="I301" s="34"/>
    </row>
    <row r="302" spans="1:12" x14ac:dyDescent="0.25">
      <c r="A302" s="339" t="s">
        <v>11</v>
      </c>
      <c r="B302" s="245">
        <v>46003</v>
      </c>
      <c r="C302" s="246" t="s">
        <v>174</v>
      </c>
      <c r="D302" s="247">
        <v>20000</v>
      </c>
      <c r="E302" s="247">
        <f>18150-400</f>
        <v>17750</v>
      </c>
      <c r="F302" s="248">
        <f>D302*E302</f>
        <v>355000000</v>
      </c>
      <c r="G302" s="248">
        <v>355000000</v>
      </c>
      <c r="H302" s="248">
        <f>F302-G302</f>
        <v>0</v>
      </c>
      <c r="I302" s="246" t="s">
        <v>111</v>
      </c>
      <c r="J302" s="59">
        <f>+B302+15</f>
        <v>46018</v>
      </c>
    </row>
    <row r="303" spans="1:12" x14ac:dyDescent="0.25">
      <c r="A303" s="346"/>
      <c r="B303" s="37"/>
      <c r="C303" s="28"/>
      <c r="D303" s="29"/>
      <c r="E303" s="29"/>
      <c r="F303" s="48">
        <v>506943800</v>
      </c>
      <c r="G303" s="28">
        <v>506943800</v>
      </c>
      <c r="H303" s="48">
        <f>F303-G303</f>
        <v>0</v>
      </c>
      <c r="I303" s="28"/>
      <c r="J303" s="36"/>
    </row>
    <row r="304" spans="1:12" x14ac:dyDescent="0.25">
      <c r="A304" s="30" t="s">
        <v>112</v>
      </c>
      <c r="B304" s="50"/>
      <c r="C304" s="51"/>
      <c r="D304" s="33">
        <f>D302+D303</f>
        <v>20000</v>
      </c>
      <c r="E304" s="32"/>
      <c r="F304" s="45">
        <f>+F302+F303</f>
        <v>861943800</v>
      </c>
      <c r="G304" s="45">
        <f t="shared" ref="G304:H304" si="2">+G302+G303</f>
        <v>861943800</v>
      </c>
      <c r="H304" s="45">
        <f t="shared" si="2"/>
        <v>0</v>
      </c>
      <c r="I304" s="34"/>
    </row>
    <row r="305" spans="1:11" x14ac:dyDescent="0.25">
      <c r="A305" s="339" t="s">
        <v>65</v>
      </c>
      <c r="B305" s="260">
        <v>46018</v>
      </c>
      <c r="C305" s="52" t="s">
        <v>190</v>
      </c>
      <c r="D305" s="261">
        <v>30000</v>
      </c>
      <c r="E305" s="261">
        <v>17500</v>
      </c>
      <c r="F305" s="39">
        <f>D305*E305</f>
        <v>525000000</v>
      </c>
      <c r="G305" s="24">
        <v>525000000</v>
      </c>
      <c r="H305" s="39">
        <f>F305-G305</f>
        <v>0</v>
      </c>
      <c r="I305" s="52" t="s">
        <v>111</v>
      </c>
      <c r="J305" s="59">
        <f>+B305+15</f>
        <v>46033</v>
      </c>
    </row>
    <row r="306" spans="1:11" x14ac:dyDescent="0.25">
      <c r="A306" s="346"/>
      <c r="B306" s="37"/>
      <c r="C306" s="28"/>
      <c r="D306" s="29"/>
      <c r="E306" s="29"/>
      <c r="F306" s="48"/>
      <c r="G306" s="28"/>
      <c r="H306" s="48"/>
      <c r="I306" s="28"/>
    </row>
    <row r="307" spans="1:11" x14ac:dyDescent="0.25">
      <c r="A307" s="30" t="s">
        <v>112</v>
      </c>
      <c r="B307" s="50"/>
      <c r="C307" s="51"/>
      <c r="D307" s="33">
        <f>D305+D306</f>
        <v>30000</v>
      </c>
      <c r="E307" s="33"/>
      <c r="F307" s="33">
        <f>F305+F306</f>
        <v>525000000</v>
      </c>
      <c r="G307" s="33">
        <f t="shared" ref="G307:H307" si="3">G305+G306</f>
        <v>525000000</v>
      </c>
      <c r="H307" s="33">
        <f t="shared" si="3"/>
        <v>0</v>
      </c>
      <c r="I307" s="34"/>
      <c r="J307" s="36">
        <f>+H297+H309</f>
        <v>0</v>
      </c>
      <c r="K307" s="16">
        <f>756+1000+392</f>
        <v>2148</v>
      </c>
    </row>
    <row r="308" spans="1:11" x14ac:dyDescent="0.25">
      <c r="A308" s="339" t="s">
        <v>1</v>
      </c>
      <c r="B308" s="27">
        <v>45992</v>
      </c>
      <c r="C308" s="23" t="s">
        <v>131</v>
      </c>
      <c r="D308" s="24">
        <v>16000</v>
      </c>
      <c r="E308" s="24">
        <v>18800</v>
      </c>
      <c r="F308" s="24">
        <f>D308*E308</f>
        <v>300800000</v>
      </c>
      <c r="G308" s="24">
        <f>F308</f>
        <v>300800000</v>
      </c>
      <c r="H308" s="24">
        <f>F308-G308</f>
        <v>0</v>
      </c>
      <c r="I308" s="26" t="s">
        <v>175</v>
      </c>
    </row>
    <row r="309" spans="1:11" x14ac:dyDescent="0.25">
      <c r="A309" s="340"/>
      <c r="B309" s="37">
        <v>45997</v>
      </c>
      <c r="C309" s="23" t="s">
        <v>176</v>
      </c>
      <c r="D309" s="29">
        <v>17898</v>
      </c>
      <c r="E309" s="29">
        <f>18380-50</f>
        <v>18330</v>
      </c>
      <c r="F309" s="29">
        <f>D309*E309</f>
        <v>328070340</v>
      </c>
      <c r="G309" s="29">
        <f>F309</f>
        <v>328070340</v>
      </c>
      <c r="H309" s="24">
        <f>F309-G309</f>
        <v>0</v>
      </c>
      <c r="I309" s="26" t="s">
        <v>119</v>
      </c>
      <c r="J309" s="59">
        <f>B309+15</f>
        <v>46012</v>
      </c>
    </row>
    <row r="310" spans="1:11" x14ac:dyDescent="0.25">
      <c r="A310" s="47"/>
      <c r="B310" s="40">
        <v>46014</v>
      </c>
      <c r="C310" s="43" t="s">
        <v>130</v>
      </c>
      <c r="D310" s="42">
        <v>35400</v>
      </c>
      <c r="E310" s="42">
        <f>17470-300</f>
        <v>17170</v>
      </c>
      <c r="F310" s="42">
        <f>D310*E310</f>
        <v>607818000</v>
      </c>
      <c r="G310" s="42">
        <v>607818000</v>
      </c>
      <c r="H310" s="24">
        <f>F310-G310</f>
        <v>0</v>
      </c>
      <c r="I310" s="52" t="s">
        <v>111</v>
      </c>
      <c r="J310" s="59">
        <f>+B310+15</f>
        <v>46029</v>
      </c>
    </row>
    <row r="311" spans="1:11" x14ac:dyDescent="0.25">
      <c r="A311" s="30" t="s">
        <v>112</v>
      </c>
      <c r="B311" s="51"/>
      <c r="C311" s="51"/>
      <c r="D311" s="33">
        <f>SUM(D308:D310)</f>
        <v>69298</v>
      </c>
      <c r="E311" s="32"/>
      <c r="F311" s="45">
        <f>SUM(F308:F310)</f>
        <v>1236688340</v>
      </c>
      <c r="G311" s="45">
        <f>SUM(G308:G310)</f>
        <v>1236688340</v>
      </c>
      <c r="H311" s="45">
        <f>SUM(H308:H310)</f>
        <v>0</v>
      </c>
      <c r="I311" s="34"/>
    </row>
    <row r="312" spans="1:11" x14ac:dyDescent="0.25">
      <c r="A312" s="55" t="s">
        <v>115</v>
      </c>
      <c r="B312" s="56"/>
      <c r="C312" s="56"/>
      <c r="D312" s="57">
        <f>+D296+D301+D307+D311</f>
        <v>145678</v>
      </c>
      <c r="E312" s="55"/>
      <c r="F312" s="58">
        <f>+F296+F301+F307+F311</f>
        <v>2593689140</v>
      </c>
      <c r="G312" s="58">
        <f>+G296+G301+G307+G311</f>
        <v>2593689140</v>
      </c>
      <c r="H312" s="58">
        <f>+H296+H301+H307+H311</f>
        <v>0</v>
      </c>
      <c r="I312" s="56"/>
    </row>
    <row r="315" spans="1:11" x14ac:dyDescent="0.25">
      <c r="I315" s="18"/>
    </row>
    <row r="316" spans="1:11" x14ac:dyDescent="0.25">
      <c r="D316" s="350">
        <v>2026</v>
      </c>
      <c r="E316" s="350"/>
      <c r="F316" s="350"/>
      <c r="I316" s="18"/>
    </row>
    <row r="317" spans="1:11" x14ac:dyDescent="0.25">
      <c r="D317" s="350"/>
      <c r="E317" s="350"/>
      <c r="F317" s="350"/>
      <c r="G317" s="265"/>
      <c r="I317" s="18"/>
    </row>
    <row r="318" spans="1:11" x14ac:dyDescent="0.25">
      <c r="G318" s="265"/>
      <c r="I318" s="18"/>
    </row>
    <row r="319" spans="1:11" ht="18.75" x14ac:dyDescent="0.3">
      <c r="A319" s="341" t="s">
        <v>99</v>
      </c>
      <c r="B319" s="341"/>
      <c r="C319" s="341"/>
      <c r="D319" s="341"/>
      <c r="E319" s="341"/>
      <c r="F319" s="341"/>
      <c r="G319" s="341"/>
      <c r="H319" s="341"/>
      <c r="I319" s="341"/>
    </row>
    <row r="320" spans="1:11" x14ac:dyDescent="0.25">
      <c r="A320" s="342" t="s">
        <v>199</v>
      </c>
      <c r="B320" s="342"/>
      <c r="C320" s="342"/>
      <c r="D320" s="342"/>
      <c r="E320" s="342"/>
      <c r="F320" s="342"/>
      <c r="G320" s="342"/>
      <c r="H320" s="342"/>
      <c r="I320" s="342"/>
    </row>
    <row r="321" spans="1:11" x14ac:dyDescent="0.25">
      <c r="A321" s="17"/>
    </row>
    <row r="322" spans="1:11" x14ac:dyDescent="0.25">
      <c r="A322" s="19" t="s">
        <v>101</v>
      </c>
      <c r="B322" s="20" t="s">
        <v>102</v>
      </c>
      <c r="C322" s="20" t="s">
        <v>103</v>
      </c>
      <c r="D322" s="21" t="s">
        <v>104</v>
      </c>
      <c r="E322" s="20" t="s">
        <v>105</v>
      </c>
      <c r="F322" s="20" t="s">
        <v>106</v>
      </c>
      <c r="G322" s="20" t="s">
        <v>107</v>
      </c>
      <c r="H322" s="20" t="s">
        <v>108</v>
      </c>
      <c r="I322" s="20" t="s">
        <v>109</v>
      </c>
    </row>
    <row r="323" spans="1:11" x14ac:dyDescent="0.25">
      <c r="A323" s="343" t="s">
        <v>2</v>
      </c>
      <c r="B323" s="267" t="s">
        <v>195</v>
      </c>
      <c r="C323" s="23" t="s">
        <v>184</v>
      </c>
      <c r="D323" s="24">
        <v>17900</v>
      </c>
      <c r="E323" s="24">
        <v>17350</v>
      </c>
      <c r="F323" s="25">
        <f>D323*E323</f>
        <v>310565000</v>
      </c>
      <c r="G323" s="25">
        <f>F323</f>
        <v>310565000</v>
      </c>
      <c r="H323" s="25">
        <f>F323-G323</f>
        <v>0</v>
      </c>
      <c r="I323" s="26" t="s">
        <v>196</v>
      </c>
    </row>
    <row r="324" spans="1:11" x14ac:dyDescent="0.25">
      <c r="A324" s="345"/>
      <c r="B324" s="27" t="s">
        <v>219</v>
      </c>
      <c r="C324" s="28" t="s">
        <v>24</v>
      </c>
      <c r="D324" s="29">
        <v>21065</v>
      </c>
      <c r="E324" s="29">
        <f>18050+650</f>
        <v>18700</v>
      </c>
      <c r="F324" s="29">
        <f>D324*E324</f>
        <v>393915500</v>
      </c>
      <c r="G324" s="25">
        <v>393915500</v>
      </c>
      <c r="H324" s="25">
        <f>F324-G324</f>
        <v>0</v>
      </c>
      <c r="I324" s="28" t="s">
        <v>205</v>
      </c>
    </row>
    <row r="325" spans="1:11" x14ac:dyDescent="0.25">
      <c r="A325" s="344"/>
      <c r="B325" s="27" t="s">
        <v>213</v>
      </c>
      <c r="C325" s="28" t="s">
        <v>39</v>
      </c>
      <c r="D325" s="42"/>
      <c r="E325" s="42">
        <v>5</v>
      </c>
      <c r="F325" s="42">
        <f>D325*E325</f>
        <v>0</v>
      </c>
      <c r="G325" s="43"/>
      <c r="H325" s="25">
        <f>F325-G325</f>
        <v>0</v>
      </c>
      <c r="I325" s="52" t="s">
        <v>210</v>
      </c>
    </row>
    <row r="326" spans="1:11" x14ac:dyDescent="0.25">
      <c r="A326" s="30" t="s">
        <v>112</v>
      </c>
      <c r="B326" s="31"/>
      <c r="C326" s="32"/>
      <c r="D326" s="33">
        <f>+SUM(D323:D325)</f>
        <v>38965</v>
      </c>
      <c r="E326" s="33"/>
      <c r="F326" s="33">
        <f>SUM(F323:F325)</f>
        <v>704480500</v>
      </c>
      <c r="G326" s="33">
        <f>SUM(G323:G324)</f>
        <v>704480500</v>
      </c>
      <c r="H326" s="33">
        <f>SUM(H323:H325)</f>
        <v>0</v>
      </c>
      <c r="I326" s="34"/>
    </row>
    <row r="327" spans="1:11" x14ac:dyDescent="0.25">
      <c r="A327" s="343" t="s">
        <v>0</v>
      </c>
      <c r="B327" s="27">
        <v>46143</v>
      </c>
      <c r="C327" s="23" t="s">
        <v>192</v>
      </c>
      <c r="D327" s="24">
        <v>20000</v>
      </c>
      <c r="E327" s="24">
        <f>17590+100+350</f>
        <v>18040</v>
      </c>
      <c r="F327" s="25">
        <f>D327*E327</f>
        <v>360800000</v>
      </c>
      <c r="G327" s="25">
        <v>351800000</v>
      </c>
      <c r="H327" s="25">
        <f>F327-G327</f>
        <v>9000000</v>
      </c>
      <c r="I327" s="26" t="s">
        <v>119</v>
      </c>
    </row>
    <row r="328" spans="1:11" x14ac:dyDescent="0.25">
      <c r="A328" s="345"/>
      <c r="B328" s="22"/>
      <c r="C328" s="23" t="s">
        <v>193</v>
      </c>
      <c r="D328" s="35"/>
      <c r="E328" s="35">
        <v>100</v>
      </c>
      <c r="F328" s="35">
        <f>D328*E328</f>
        <v>0</v>
      </c>
      <c r="G328" s="26">
        <v>2000000</v>
      </c>
      <c r="H328" s="25">
        <f>F328-G328</f>
        <v>-2000000</v>
      </c>
      <c r="I328" s="26"/>
    </row>
    <row r="329" spans="1:11" x14ac:dyDescent="0.25">
      <c r="A329" s="345"/>
      <c r="B329" s="37"/>
      <c r="C329" s="38" t="s">
        <v>194</v>
      </c>
      <c r="D329" s="29"/>
      <c r="E329" s="29">
        <v>350</v>
      </c>
      <c r="F329" s="29">
        <f>D329*E329</f>
        <v>0</v>
      </c>
      <c r="G329" s="48">
        <f>+F329</f>
        <v>0</v>
      </c>
      <c r="H329" s="39">
        <f>F329-G329</f>
        <v>0</v>
      </c>
      <c r="I329" s="28"/>
    </row>
    <row r="330" spans="1:11" x14ac:dyDescent="0.25">
      <c r="A330" s="344"/>
      <c r="B330" s="40" t="s">
        <v>203</v>
      </c>
      <c r="C330" s="41" t="s">
        <v>24</v>
      </c>
      <c r="D330" s="42">
        <v>21065</v>
      </c>
      <c r="E330" s="42">
        <v>17820</v>
      </c>
      <c r="F330" s="42">
        <f>D330*E330</f>
        <v>375378300</v>
      </c>
      <c r="G330" s="48">
        <f>367162950+8215350</f>
        <v>375378300</v>
      </c>
      <c r="H330" s="44">
        <f>F330-G330</f>
        <v>0</v>
      </c>
      <c r="I330" s="28" t="s">
        <v>205</v>
      </c>
      <c r="J330" s="36">
        <f>+H330+H333</f>
        <v>0</v>
      </c>
    </row>
    <row r="331" spans="1:11" x14ac:dyDescent="0.25">
      <c r="A331" s="270"/>
      <c r="B331" s="272" t="s">
        <v>211</v>
      </c>
      <c r="C331" s="273" t="s">
        <v>39</v>
      </c>
      <c r="D331" s="274"/>
      <c r="E331" s="274">
        <v>5</v>
      </c>
      <c r="F331" s="274"/>
      <c r="G331" s="275"/>
      <c r="H331" s="276"/>
      <c r="I331" s="52" t="s">
        <v>210</v>
      </c>
    </row>
    <row r="332" spans="1:11" x14ac:dyDescent="0.25">
      <c r="A332" s="30" t="s">
        <v>112</v>
      </c>
      <c r="B332" s="31"/>
      <c r="C332" s="32"/>
      <c r="D332" s="33">
        <f>+SUM(D327:D331)</f>
        <v>41065</v>
      </c>
      <c r="E332" s="33"/>
      <c r="F332" s="45">
        <f>SUM(F327:F330)</f>
        <v>736178300</v>
      </c>
      <c r="G332" s="45">
        <f>SUM(G327:G330)</f>
        <v>729178300</v>
      </c>
      <c r="H332" s="45">
        <f>SUM(H327:H330)</f>
        <v>7000000</v>
      </c>
      <c r="I332" s="34"/>
    </row>
    <row r="333" spans="1:11" x14ac:dyDescent="0.25">
      <c r="A333" s="339" t="s">
        <v>11</v>
      </c>
      <c r="B333" s="245" t="s">
        <v>208</v>
      </c>
      <c r="C333" s="246" t="s">
        <v>24</v>
      </c>
      <c r="D333" s="247">
        <v>21065</v>
      </c>
      <c r="E333" s="247">
        <f>17620+300</f>
        <v>17920</v>
      </c>
      <c r="F333" s="248">
        <f>D333*E333</f>
        <v>377484800</v>
      </c>
      <c r="G333" s="248">
        <f>371165300+6319500</f>
        <v>377484800</v>
      </c>
      <c r="H333" s="39">
        <f>F333-G333</f>
        <v>0</v>
      </c>
      <c r="I333" s="28" t="s">
        <v>205</v>
      </c>
      <c r="J333" s="36">
        <f>+G333+G330</f>
        <v>752863100</v>
      </c>
      <c r="K333" s="36"/>
    </row>
    <row r="334" spans="1:11" x14ac:dyDescent="0.25">
      <c r="A334" s="346"/>
      <c r="B334" s="37"/>
      <c r="C334" s="28"/>
      <c r="D334" s="29"/>
      <c r="E334" s="29"/>
      <c r="F334" s="48">
        <f>D334*E334</f>
        <v>0</v>
      </c>
      <c r="G334" s="28"/>
      <c r="H334" s="39">
        <f>F334-G334</f>
        <v>0</v>
      </c>
      <c r="I334" s="28"/>
      <c r="K334" s="36">
        <f>+G330+G333</f>
        <v>752863100</v>
      </c>
    </row>
    <row r="335" spans="1:11" x14ac:dyDescent="0.25">
      <c r="A335" s="30" t="s">
        <v>112</v>
      </c>
      <c r="B335" s="50"/>
      <c r="C335" s="51"/>
      <c r="D335" s="33">
        <f>+SUM(D333:D334)</f>
        <v>21065</v>
      </c>
      <c r="E335" s="32"/>
      <c r="F335" s="45">
        <f>+F333+F334</f>
        <v>377484800</v>
      </c>
      <c r="G335" s="45"/>
      <c r="H335" s="45">
        <f>SUM(H330:H334)</f>
        <v>7000000</v>
      </c>
      <c r="I335" s="34"/>
      <c r="J335" s="16">
        <v>48800000</v>
      </c>
      <c r="K335" s="36"/>
    </row>
    <row r="336" spans="1:11" x14ac:dyDescent="0.25">
      <c r="A336" s="339" t="s">
        <v>65</v>
      </c>
      <c r="B336" s="260" t="s">
        <v>203</v>
      </c>
      <c r="C336" s="52" t="s">
        <v>89</v>
      </c>
      <c r="D336" s="261">
        <v>30618</v>
      </c>
      <c r="E336" s="261">
        <f>17280+450</f>
        <v>17730</v>
      </c>
      <c r="F336" s="39">
        <f>D336*E336</f>
        <v>542857140</v>
      </c>
      <c r="G336" s="248">
        <v>542857140</v>
      </c>
      <c r="H336" s="39">
        <f>F336-G336</f>
        <v>0</v>
      </c>
      <c r="I336" s="52" t="s">
        <v>204</v>
      </c>
      <c r="J336" s="16">
        <v>39650000</v>
      </c>
    </row>
    <row r="337" spans="1:10" x14ac:dyDescent="0.25">
      <c r="A337" s="346"/>
      <c r="B337" s="37"/>
      <c r="C337" s="28"/>
      <c r="D337" s="29"/>
      <c r="E337" s="29"/>
      <c r="F337" s="48"/>
      <c r="G337" s="28"/>
      <c r="H337" s="39">
        <f>F337-G337</f>
        <v>0</v>
      </c>
      <c r="I337" s="28"/>
      <c r="J337" s="16">
        <v>71400000</v>
      </c>
    </row>
    <row r="338" spans="1:10" x14ac:dyDescent="0.25">
      <c r="A338" s="30" t="s">
        <v>112</v>
      </c>
      <c r="B338" s="50"/>
      <c r="C338" s="51"/>
      <c r="D338" s="33">
        <f>+SUM(D336:D337)</f>
        <v>30618</v>
      </c>
      <c r="E338" s="33"/>
      <c r="F338" s="33">
        <f>F336+F337</f>
        <v>542857140</v>
      </c>
      <c r="G338" s="33"/>
      <c r="H338" s="33"/>
      <c r="I338" s="34"/>
      <c r="J338" s="16">
        <f>+SUM(J335:J337)</f>
        <v>159850000</v>
      </c>
    </row>
    <row r="339" spans="1:10" x14ac:dyDescent="0.25">
      <c r="A339" s="339" t="s">
        <v>1</v>
      </c>
      <c r="B339" s="27" t="s">
        <v>201</v>
      </c>
      <c r="C339" s="23" t="s">
        <v>15</v>
      </c>
      <c r="D339" s="24">
        <v>28380</v>
      </c>
      <c r="E339" s="24">
        <v>17820</v>
      </c>
      <c r="F339" s="24">
        <f>D339*E339</f>
        <v>505731600</v>
      </c>
      <c r="G339" s="24">
        <v>505731600</v>
      </c>
      <c r="H339" s="39">
        <f t="shared" ref="H339:H341" si="4">F339-G339</f>
        <v>0</v>
      </c>
      <c r="I339" s="26" t="s">
        <v>202</v>
      </c>
      <c r="J339" s="36">
        <f>+J338+J333</f>
        <v>912713100</v>
      </c>
    </row>
    <row r="340" spans="1:10" x14ac:dyDescent="0.25">
      <c r="A340" s="340"/>
      <c r="B340" s="37"/>
      <c r="C340" s="23"/>
      <c r="D340" s="29"/>
      <c r="E340" s="29"/>
      <c r="F340" s="29">
        <f>D340*E340</f>
        <v>0</v>
      </c>
      <c r="G340" s="29"/>
      <c r="H340" s="39">
        <f t="shared" si="4"/>
        <v>0</v>
      </c>
      <c r="I340" s="26"/>
    </row>
    <row r="341" spans="1:10" x14ac:dyDescent="0.25">
      <c r="A341" s="47"/>
      <c r="B341" s="40" t="s">
        <v>209</v>
      </c>
      <c r="C341" s="43" t="s">
        <v>39</v>
      </c>
      <c r="D341" s="42"/>
      <c r="E341" s="42">
        <v>8</v>
      </c>
      <c r="F341" s="42">
        <f>D341*E341</f>
        <v>0</v>
      </c>
      <c r="G341" s="54"/>
      <c r="H341" s="39">
        <f t="shared" si="4"/>
        <v>0</v>
      </c>
      <c r="I341" s="52" t="s">
        <v>210</v>
      </c>
    </row>
    <row r="342" spans="1:10" x14ac:dyDescent="0.25">
      <c r="A342" s="30" t="s">
        <v>112</v>
      </c>
      <c r="B342" s="51"/>
      <c r="C342" s="51"/>
      <c r="D342" s="33">
        <f>SUM(D339:D341)</f>
        <v>28380</v>
      </c>
      <c r="E342" s="32"/>
      <c r="F342" s="45">
        <f>SUM(F339:F341)</f>
        <v>505731600</v>
      </c>
      <c r="G342" s="45">
        <f>SUM(G339:G341)</f>
        <v>505731600</v>
      </c>
      <c r="H342" s="45">
        <f>SUM(H339:H341)</f>
        <v>0</v>
      </c>
      <c r="I342" s="34"/>
    </row>
    <row r="343" spans="1:10" x14ac:dyDescent="0.25">
      <c r="A343" s="55" t="s">
        <v>115</v>
      </c>
      <c r="B343" s="56"/>
      <c r="C343" s="56"/>
      <c r="D343" s="57">
        <f>+D326+D332+D335+D338+D342</f>
        <v>160093</v>
      </c>
      <c r="E343" s="55"/>
      <c r="F343" s="58">
        <f>+F326+F332+F338+F342</f>
        <v>2489247540</v>
      </c>
      <c r="G343" s="58">
        <f>+G326+G332+G338+G342</f>
        <v>1939390400</v>
      </c>
      <c r="H343" s="58">
        <f>+H326+H332+H338+H342+H335</f>
        <v>14000000</v>
      </c>
      <c r="I343" s="56"/>
    </row>
    <row r="347" spans="1:10" ht="18.75" x14ac:dyDescent="0.3">
      <c r="A347" s="341" t="s">
        <v>99</v>
      </c>
      <c r="B347" s="341"/>
      <c r="C347" s="341"/>
      <c r="D347" s="341"/>
      <c r="E347" s="341"/>
      <c r="F347" s="341"/>
      <c r="G347" s="341"/>
      <c r="H347" s="341"/>
      <c r="I347" s="341"/>
    </row>
    <row r="348" spans="1:10" x14ac:dyDescent="0.25">
      <c r="A348" s="342" t="s">
        <v>220</v>
      </c>
      <c r="B348" s="342"/>
      <c r="C348" s="342"/>
      <c r="D348" s="342"/>
      <c r="E348" s="342"/>
      <c r="F348" s="342"/>
      <c r="G348" s="342"/>
      <c r="H348" s="342"/>
      <c r="I348" s="342"/>
    </row>
    <row r="349" spans="1:10" x14ac:dyDescent="0.25">
      <c r="A349" s="17"/>
    </row>
    <row r="350" spans="1:10" x14ac:dyDescent="0.25">
      <c r="A350" s="19" t="s">
        <v>101</v>
      </c>
      <c r="B350" s="20" t="s">
        <v>102</v>
      </c>
      <c r="C350" s="20" t="s">
        <v>103</v>
      </c>
      <c r="D350" s="21" t="s">
        <v>104</v>
      </c>
      <c r="E350" s="20" t="s">
        <v>105</v>
      </c>
      <c r="F350" s="20" t="s">
        <v>106</v>
      </c>
      <c r="G350" s="20" t="s">
        <v>107</v>
      </c>
      <c r="H350" s="20" t="s">
        <v>108</v>
      </c>
      <c r="I350" s="20" t="s">
        <v>109</v>
      </c>
    </row>
    <row r="351" spans="1:10" x14ac:dyDescent="0.25">
      <c r="A351" s="343" t="s">
        <v>2</v>
      </c>
      <c r="B351" s="267"/>
      <c r="C351" s="23"/>
      <c r="D351" s="24"/>
      <c r="E351" s="24"/>
      <c r="F351" s="25">
        <f>D351*E351</f>
        <v>0</v>
      </c>
      <c r="G351" s="25">
        <f>F351</f>
        <v>0</v>
      </c>
      <c r="H351" s="25">
        <f>F351-G351</f>
        <v>0</v>
      </c>
      <c r="I351" s="26"/>
    </row>
    <row r="352" spans="1:10" x14ac:dyDescent="0.25">
      <c r="A352" s="345"/>
      <c r="B352" s="27"/>
      <c r="C352" s="28"/>
      <c r="D352" s="29"/>
      <c r="E352" s="29"/>
      <c r="F352" s="29">
        <f>D352*E352</f>
        <v>0</v>
      </c>
      <c r="G352" s="25">
        <f>+F352</f>
        <v>0</v>
      </c>
      <c r="H352" s="25">
        <f>F352-G352</f>
        <v>0</v>
      </c>
      <c r="I352" s="28"/>
    </row>
    <row r="353" spans="1:10" x14ac:dyDescent="0.25">
      <c r="A353" s="344"/>
      <c r="B353" s="27"/>
      <c r="C353" s="28"/>
      <c r="D353" s="42"/>
      <c r="E353" s="42"/>
      <c r="F353" s="42">
        <f>D353*E353</f>
        <v>0</v>
      </c>
      <c r="G353" s="43"/>
      <c r="H353" s="25">
        <f>F353-G353</f>
        <v>0</v>
      </c>
      <c r="I353" s="52"/>
    </row>
    <row r="354" spans="1:10" x14ac:dyDescent="0.25">
      <c r="A354" s="30" t="s">
        <v>112</v>
      </c>
      <c r="B354" s="31"/>
      <c r="C354" s="32"/>
      <c r="D354" s="33">
        <f>SUM(D351:D353)</f>
        <v>0</v>
      </c>
      <c r="E354" s="33"/>
      <c r="F354" s="45">
        <f>SUM(F351:F353)</f>
        <v>0</v>
      </c>
      <c r="G354" s="33">
        <f>SUM(G351:G352)</f>
        <v>0</v>
      </c>
      <c r="H354" s="45">
        <f>SUM(H351:H353)</f>
        <v>0</v>
      </c>
      <c r="I354" s="34"/>
    </row>
    <row r="355" spans="1:10" x14ac:dyDescent="0.25">
      <c r="A355" s="343" t="s">
        <v>0</v>
      </c>
      <c r="B355" s="27">
        <v>46328</v>
      </c>
      <c r="C355" s="23" t="s">
        <v>24</v>
      </c>
      <c r="D355" s="24">
        <v>19570</v>
      </c>
      <c r="E355" s="24">
        <v>18150</v>
      </c>
      <c r="F355" s="25">
        <f>D355*E355</f>
        <v>355195500</v>
      </c>
      <c r="G355" s="25">
        <v>355195500</v>
      </c>
      <c r="H355" s="25">
        <f t="shared" ref="H355:H369" si="5">F355-G355</f>
        <v>0</v>
      </c>
      <c r="I355" s="26" t="s">
        <v>205</v>
      </c>
    </row>
    <row r="356" spans="1:10" x14ac:dyDescent="0.25">
      <c r="A356" s="345"/>
      <c r="B356" s="22"/>
      <c r="C356" s="23"/>
      <c r="D356" s="35"/>
      <c r="E356" s="35"/>
      <c r="F356" s="35">
        <f>D356*E356</f>
        <v>0</v>
      </c>
      <c r="G356" s="26"/>
      <c r="H356" s="25">
        <f t="shared" si="5"/>
        <v>0</v>
      </c>
      <c r="I356" s="26"/>
    </row>
    <row r="357" spans="1:10" x14ac:dyDescent="0.25">
      <c r="A357" s="344"/>
      <c r="B357" s="40"/>
      <c r="C357" s="41"/>
      <c r="D357" s="42"/>
      <c r="E357" s="42"/>
      <c r="F357" s="42">
        <f>D357*E357</f>
        <v>0</v>
      </c>
      <c r="G357" s="48"/>
      <c r="H357" s="25">
        <f t="shared" si="5"/>
        <v>0</v>
      </c>
      <c r="I357" s="28"/>
      <c r="J357" s="36">
        <f>+H357+H359</f>
        <v>0</v>
      </c>
    </row>
    <row r="358" spans="1:10" x14ac:dyDescent="0.25">
      <c r="A358" s="30" t="s">
        <v>112</v>
      </c>
      <c r="B358" s="31"/>
      <c r="C358" s="32"/>
      <c r="D358" s="33">
        <f>SUM(D355:D357)</f>
        <v>19570</v>
      </c>
      <c r="E358" s="33"/>
      <c r="F358" s="45">
        <f>SUM(F355:F357)</f>
        <v>355195500</v>
      </c>
      <c r="G358" s="45">
        <f>SUM(G355:G357)</f>
        <v>355195500</v>
      </c>
      <c r="H358" s="45">
        <f>SUM(H355:H357)</f>
        <v>0</v>
      </c>
      <c r="I358" s="34"/>
    </row>
    <row r="359" spans="1:10" x14ac:dyDescent="0.25">
      <c r="A359" s="339" t="s">
        <v>11</v>
      </c>
      <c r="B359" s="245" t="s">
        <v>228</v>
      </c>
      <c r="C359" s="246" t="s">
        <v>229</v>
      </c>
      <c r="D359" s="247">
        <v>30935</v>
      </c>
      <c r="E359" s="247">
        <v>18220</v>
      </c>
      <c r="F359" s="248">
        <f>D359*E359</f>
        <v>563635700</v>
      </c>
      <c r="G359" s="248">
        <v>563635700</v>
      </c>
      <c r="H359" s="25">
        <f t="shared" si="5"/>
        <v>0</v>
      </c>
      <c r="I359" s="28" t="s">
        <v>205</v>
      </c>
      <c r="J359" s="36">
        <f>+G359+G357</f>
        <v>563635700</v>
      </c>
    </row>
    <row r="360" spans="1:10" x14ac:dyDescent="0.25">
      <c r="A360" s="346"/>
      <c r="B360" s="37"/>
      <c r="C360" s="28"/>
      <c r="D360" s="29"/>
      <c r="E360" s="29"/>
      <c r="F360" s="48">
        <f>D360*E360</f>
        <v>0</v>
      </c>
      <c r="G360" s="28"/>
      <c r="H360" s="25">
        <f t="shared" si="5"/>
        <v>0</v>
      </c>
      <c r="I360" s="28"/>
    </row>
    <row r="361" spans="1:10" x14ac:dyDescent="0.25">
      <c r="A361" s="347"/>
      <c r="B361" s="37"/>
      <c r="C361" s="28"/>
      <c r="D361" s="29"/>
      <c r="E361" s="29"/>
      <c r="F361" s="48">
        <f>D361*E361</f>
        <v>0</v>
      </c>
      <c r="G361" s="28"/>
      <c r="H361" s="25">
        <f t="shared" ref="H361" si="6">F361-G361</f>
        <v>0</v>
      </c>
      <c r="I361" s="28"/>
    </row>
    <row r="362" spans="1:10" x14ac:dyDescent="0.25">
      <c r="A362" s="30" t="s">
        <v>112</v>
      </c>
      <c r="B362" s="50"/>
      <c r="C362" s="51"/>
      <c r="D362" s="33">
        <f>SUM(D359:D360)</f>
        <v>30935</v>
      </c>
      <c r="E362" s="32"/>
      <c r="F362" s="45">
        <f>SUM(F359:F361)</f>
        <v>563635700</v>
      </c>
      <c r="G362" s="45"/>
      <c r="H362" s="45">
        <f>SUM(H359:H361)</f>
        <v>0</v>
      </c>
      <c r="I362" s="34"/>
    </row>
    <row r="363" spans="1:10" x14ac:dyDescent="0.25">
      <c r="A363" s="339" t="s">
        <v>65</v>
      </c>
      <c r="B363" s="260">
        <v>46205</v>
      </c>
      <c r="C363" s="52" t="s">
        <v>221</v>
      </c>
      <c r="D363" s="261">
        <v>23700</v>
      </c>
      <c r="E363" s="261">
        <v>18360</v>
      </c>
      <c r="F363" s="39">
        <f>D363*E363</f>
        <v>435132000</v>
      </c>
      <c r="G363" s="39">
        <f>+F363</f>
        <v>435132000</v>
      </c>
      <c r="H363" s="25">
        <f t="shared" si="5"/>
        <v>0</v>
      </c>
      <c r="I363" s="52" t="s">
        <v>227</v>
      </c>
    </row>
    <row r="364" spans="1:10" x14ac:dyDescent="0.25">
      <c r="A364" s="346"/>
      <c r="B364" s="260"/>
      <c r="C364" s="52"/>
      <c r="D364" s="261"/>
      <c r="E364" s="261"/>
      <c r="F364" s="39"/>
      <c r="G364" s="39"/>
      <c r="H364" s="25"/>
      <c r="I364" s="52"/>
    </row>
    <row r="365" spans="1:10" x14ac:dyDescent="0.25">
      <c r="A365" s="346"/>
      <c r="B365" s="37"/>
      <c r="C365" s="28"/>
      <c r="D365" s="29"/>
      <c r="E365" s="29"/>
      <c r="F365" s="48"/>
      <c r="G365" s="28"/>
      <c r="H365" s="25">
        <f t="shared" si="5"/>
        <v>0</v>
      </c>
      <c r="I365" s="28"/>
    </row>
    <row r="366" spans="1:10" x14ac:dyDescent="0.25">
      <c r="A366" s="30" t="s">
        <v>112</v>
      </c>
      <c r="B366" s="50"/>
      <c r="C366" s="51"/>
      <c r="D366" s="33">
        <f>SUM(D363:D364)</f>
        <v>23700</v>
      </c>
      <c r="E366" s="33"/>
      <c r="F366" s="45">
        <f>SUM(F363:F365)</f>
        <v>435132000</v>
      </c>
      <c r="G366" s="33"/>
      <c r="H366" s="45">
        <f>SUM(H363:H365)</f>
        <v>0</v>
      </c>
      <c r="I366" s="34"/>
    </row>
    <row r="367" spans="1:10" x14ac:dyDescent="0.25">
      <c r="A367" s="339" t="s">
        <v>1</v>
      </c>
      <c r="B367" s="27">
        <v>46175</v>
      </c>
      <c r="C367" s="23" t="s">
        <v>38</v>
      </c>
      <c r="D367" s="24">
        <v>19540</v>
      </c>
      <c r="E367" s="24">
        <v>18530</v>
      </c>
      <c r="F367" s="24">
        <f>D367*E367</f>
        <v>362076200</v>
      </c>
      <c r="G367" s="24">
        <v>362076200</v>
      </c>
      <c r="H367" s="25">
        <f t="shared" si="5"/>
        <v>0</v>
      </c>
      <c r="I367" s="26" t="s">
        <v>226</v>
      </c>
      <c r="J367" s="36"/>
    </row>
    <row r="368" spans="1:10" x14ac:dyDescent="0.25">
      <c r="A368" s="340"/>
      <c r="B368" s="37" t="s">
        <v>234</v>
      </c>
      <c r="C368" s="23" t="s">
        <v>235</v>
      </c>
      <c r="D368" s="29">
        <v>10507</v>
      </c>
      <c r="E368" s="29">
        <f>18520+550</f>
        <v>19070</v>
      </c>
      <c r="F368" s="29">
        <f>D368*E368</f>
        <v>200368490</v>
      </c>
      <c r="G368" s="29">
        <v>200368490</v>
      </c>
      <c r="H368" s="25">
        <f t="shared" si="5"/>
        <v>0</v>
      </c>
      <c r="I368" s="52" t="s">
        <v>227</v>
      </c>
    </row>
    <row r="369" spans="1:11" x14ac:dyDescent="0.25">
      <c r="A369" s="47"/>
      <c r="B369" s="40"/>
      <c r="C369" s="43"/>
      <c r="D369" s="42"/>
      <c r="E369" s="42"/>
      <c r="F369" s="42">
        <f>D369*E369</f>
        <v>0</v>
      </c>
      <c r="G369" s="54"/>
      <c r="H369" s="25">
        <f t="shared" si="5"/>
        <v>0</v>
      </c>
      <c r="I369" s="52"/>
    </row>
    <row r="370" spans="1:11" x14ac:dyDescent="0.25">
      <c r="A370" s="30" t="s">
        <v>112</v>
      </c>
      <c r="B370" s="51"/>
      <c r="C370" s="51"/>
      <c r="D370" s="33">
        <f>SUM(D367:D369)</f>
        <v>30047</v>
      </c>
      <c r="E370" s="32"/>
      <c r="F370" s="45">
        <f>SUM(F367:F369)</f>
        <v>562444690</v>
      </c>
      <c r="G370" s="45">
        <f>SUM(G367:G369)</f>
        <v>562444690</v>
      </c>
      <c r="H370" s="45">
        <f>SUM(H367:H369)</f>
        <v>0</v>
      </c>
      <c r="I370" s="34"/>
    </row>
    <row r="371" spans="1:11" x14ac:dyDescent="0.25">
      <c r="A371" s="55" t="s">
        <v>115</v>
      </c>
      <c r="B371" s="56"/>
      <c r="C371" s="56"/>
      <c r="D371" s="57">
        <f>+D354+D358+D366+D370+D362</f>
        <v>104252</v>
      </c>
      <c r="E371" s="55"/>
      <c r="F371" s="58">
        <f>+F354+F358+F366+F370</f>
        <v>1352772190</v>
      </c>
      <c r="G371" s="58">
        <f>+G354+G358+G366+G370</f>
        <v>917640190</v>
      </c>
      <c r="H371" s="58">
        <f>+H354+H358+H366+H370+H362</f>
        <v>0</v>
      </c>
      <c r="I371" s="56"/>
    </row>
    <row r="375" spans="1:11" ht="18.75" x14ac:dyDescent="0.3">
      <c r="A375" s="341" t="s">
        <v>99</v>
      </c>
      <c r="B375" s="341"/>
      <c r="C375" s="341"/>
      <c r="D375" s="341"/>
      <c r="E375" s="341"/>
      <c r="F375" s="341"/>
      <c r="G375" s="341"/>
      <c r="H375" s="341"/>
      <c r="I375" s="341"/>
    </row>
    <row r="376" spans="1:11" x14ac:dyDescent="0.25">
      <c r="A376" s="342" t="s">
        <v>236</v>
      </c>
      <c r="B376" s="342"/>
      <c r="C376" s="342"/>
      <c r="D376" s="342"/>
      <c r="E376" s="342"/>
      <c r="F376" s="342"/>
      <c r="G376" s="342"/>
      <c r="H376" s="342"/>
      <c r="I376" s="342"/>
    </row>
    <row r="377" spans="1:11" x14ac:dyDescent="0.25">
      <c r="A377" s="17"/>
    </row>
    <row r="378" spans="1:11" x14ac:dyDescent="0.25">
      <c r="A378" s="19" t="s">
        <v>101</v>
      </c>
      <c r="B378" s="20" t="s">
        <v>102</v>
      </c>
      <c r="C378" s="20" t="s">
        <v>103</v>
      </c>
      <c r="D378" s="21" t="s">
        <v>104</v>
      </c>
      <c r="E378" s="20" t="s">
        <v>105</v>
      </c>
      <c r="F378" s="20" t="s">
        <v>106</v>
      </c>
      <c r="G378" s="20" t="s">
        <v>107</v>
      </c>
      <c r="H378" s="20" t="s">
        <v>108</v>
      </c>
      <c r="I378" s="20" t="s">
        <v>109</v>
      </c>
    </row>
    <row r="379" spans="1:11" x14ac:dyDescent="0.25">
      <c r="A379" s="343" t="s">
        <v>2</v>
      </c>
      <c r="B379" s="267">
        <v>46056</v>
      </c>
      <c r="C379" s="23" t="s">
        <v>15</v>
      </c>
      <c r="D379" s="24">
        <v>21805</v>
      </c>
      <c r="E379" s="24">
        <v>20143.751433157533</v>
      </c>
      <c r="F379" s="25">
        <f>D379*E379</f>
        <v>439234500</v>
      </c>
      <c r="G379" s="25">
        <f>F379</f>
        <v>439234500</v>
      </c>
      <c r="H379" s="25">
        <f>F379-G379</f>
        <v>0</v>
      </c>
      <c r="I379" s="26" t="s">
        <v>202</v>
      </c>
      <c r="J379" s="25">
        <f>35330*19650</f>
        <v>694234500</v>
      </c>
    </row>
    <row r="380" spans="1:11" x14ac:dyDescent="0.25">
      <c r="A380" s="345"/>
      <c r="B380" s="27" t="s">
        <v>244</v>
      </c>
      <c r="C380" s="28" t="s">
        <v>229</v>
      </c>
      <c r="D380" s="29">
        <v>32030</v>
      </c>
      <c r="E380" s="29">
        <f>33420+500</f>
        <v>33920</v>
      </c>
      <c r="F380" s="29">
        <f>D380*E380</f>
        <v>1086457600</v>
      </c>
      <c r="G380" s="25">
        <f>+F380</f>
        <v>1086457600</v>
      </c>
      <c r="H380" s="25">
        <f>F380-G380</f>
        <v>0</v>
      </c>
      <c r="I380" s="28"/>
      <c r="J380" s="36">
        <f>+J379-253593750</f>
        <v>440640750</v>
      </c>
      <c r="K380" s="16">
        <f>30944.44444*8%+30944.44444</f>
        <v>33419.9999952</v>
      </c>
    </row>
    <row r="381" spans="1:11" x14ac:dyDescent="0.25">
      <c r="A381" s="344"/>
      <c r="B381" s="27"/>
      <c r="C381" s="28"/>
      <c r="D381" s="42"/>
      <c r="E381" s="42"/>
      <c r="F381" s="42">
        <f>D381*E381</f>
        <v>0</v>
      </c>
      <c r="G381" s="43"/>
      <c r="H381" s="25">
        <f>F381-G381</f>
        <v>0</v>
      </c>
      <c r="I381" s="52"/>
      <c r="J381" s="36">
        <v>439234500</v>
      </c>
      <c r="K381" s="36">
        <f>+J381/D379</f>
        <v>20143.751433157533</v>
      </c>
    </row>
    <row r="382" spans="1:11" x14ac:dyDescent="0.25">
      <c r="A382" s="30" t="s">
        <v>112</v>
      </c>
      <c r="B382" s="31"/>
      <c r="C382" s="32"/>
      <c r="D382" s="33">
        <f>SUM(D379:D381)</f>
        <v>53835</v>
      </c>
      <c r="E382" s="33"/>
      <c r="F382" s="45">
        <f>SUM(F379:F381)</f>
        <v>1525692100</v>
      </c>
      <c r="G382" s="33">
        <f>SUM(G379:G381)</f>
        <v>1525692100</v>
      </c>
      <c r="H382" s="45">
        <f>SUM(H379:H381)</f>
        <v>0</v>
      </c>
      <c r="I382" s="34"/>
      <c r="J382" s="16">
        <v>255000000</v>
      </c>
    </row>
    <row r="383" spans="1:11" x14ac:dyDescent="0.25">
      <c r="A383" s="343" t="s">
        <v>0</v>
      </c>
      <c r="B383" s="27" t="s">
        <v>239</v>
      </c>
      <c r="C383" s="23" t="s">
        <v>240</v>
      </c>
      <c r="D383" s="24">
        <v>30000</v>
      </c>
      <c r="E383" s="24">
        <v>27020</v>
      </c>
      <c r="F383" s="25">
        <f>D383*E383</f>
        <v>810600000</v>
      </c>
      <c r="G383" s="25">
        <v>810600000</v>
      </c>
      <c r="H383" s="25">
        <f t="shared" ref="H383:H385" si="7">F383-G383</f>
        <v>0</v>
      </c>
      <c r="I383" s="26" t="s">
        <v>241</v>
      </c>
      <c r="J383" s="36">
        <f>+J381+J382</f>
        <v>694234500</v>
      </c>
    </row>
    <row r="384" spans="1:11" x14ac:dyDescent="0.25">
      <c r="A384" s="345"/>
      <c r="B384" s="22"/>
      <c r="C384" s="23" t="s">
        <v>242</v>
      </c>
      <c r="D384" s="24">
        <v>30000</v>
      </c>
      <c r="E384" s="35">
        <v>1000</v>
      </c>
      <c r="F384" s="35">
        <f>D384*E384</f>
        <v>30000000</v>
      </c>
      <c r="G384" s="26">
        <v>30000000</v>
      </c>
      <c r="H384" s="25">
        <f t="shared" si="7"/>
        <v>0</v>
      </c>
      <c r="I384" s="26" t="s">
        <v>241</v>
      </c>
      <c r="J384" s="36">
        <f>+J383-J381</f>
        <v>255000000</v>
      </c>
    </row>
    <row r="385" spans="1:10" x14ac:dyDescent="0.25">
      <c r="A385" s="344"/>
      <c r="B385" s="40"/>
      <c r="C385" s="41"/>
      <c r="D385" s="42"/>
      <c r="E385" s="42"/>
      <c r="F385" s="42">
        <f>D385*E385</f>
        <v>0</v>
      </c>
      <c r="G385" s="48"/>
      <c r="H385" s="25">
        <f t="shared" si="7"/>
        <v>0</v>
      </c>
      <c r="I385" s="28"/>
      <c r="J385" s="16">
        <v>243450000</v>
      </c>
    </row>
    <row r="386" spans="1:10" x14ac:dyDescent="0.25">
      <c r="A386" s="30" t="s">
        <v>112</v>
      </c>
      <c r="B386" s="31"/>
      <c r="C386" s="32"/>
      <c r="D386" s="33">
        <f>SUM(D383:D385)</f>
        <v>60000</v>
      </c>
      <c r="E386" s="33"/>
      <c r="F386" s="45">
        <f>SUM(F383:F385)</f>
        <v>840600000</v>
      </c>
      <c r="G386" s="45">
        <f>SUM(G383:G385)</f>
        <v>840600000</v>
      </c>
      <c r="H386" s="45">
        <f>SUM(H383:H385)</f>
        <v>0</v>
      </c>
      <c r="I386" s="34"/>
      <c r="J386" s="36">
        <f>+J384-J385</f>
        <v>11550000</v>
      </c>
    </row>
    <row r="387" spans="1:10" x14ac:dyDescent="0.25">
      <c r="A387" s="339" t="s">
        <v>11</v>
      </c>
      <c r="B387" s="245" t="s">
        <v>243</v>
      </c>
      <c r="C387" s="246" t="s">
        <v>14</v>
      </c>
      <c r="D387" s="247">
        <v>16900</v>
      </c>
      <c r="E387" s="247">
        <v>37990</v>
      </c>
      <c r="F387" s="248">
        <f>D387*E387</f>
        <v>642031000</v>
      </c>
      <c r="G387" s="248">
        <v>642031000</v>
      </c>
      <c r="H387" s="25">
        <f t="shared" ref="H387:H389" si="8">F387-G387</f>
        <v>0</v>
      </c>
      <c r="I387" s="28"/>
    </row>
    <row r="388" spans="1:10" x14ac:dyDescent="0.25">
      <c r="A388" s="346"/>
      <c r="B388" s="37"/>
      <c r="C388" s="28"/>
      <c r="D388" s="29"/>
      <c r="E388" s="29"/>
      <c r="F388" s="48">
        <f>D388*E388</f>
        <v>0</v>
      </c>
      <c r="G388" s="28"/>
      <c r="H388" s="25">
        <f t="shared" si="8"/>
        <v>0</v>
      </c>
      <c r="I388" s="28"/>
    </row>
    <row r="389" spans="1:10" x14ac:dyDescent="0.25">
      <c r="A389" s="347"/>
      <c r="B389" s="37"/>
      <c r="C389" s="28"/>
      <c r="D389" s="29"/>
      <c r="E389" s="29"/>
      <c r="F389" s="48">
        <f>D389*E389</f>
        <v>0</v>
      </c>
      <c r="G389" s="28"/>
      <c r="H389" s="25">
        <f t="shared" si="8"/>
        <v>0</v>
      </c>
      <c r="I389" s="28"/>
    </row>
    <row r="390" spans="1:10" x14ac:dyDescent="0.25">
      <c r="A390" s="30" t="s">
        <v>112</v>
      </c>
      <c r="B390" s="50"/>
      <c r="C390" s="51"/>
      <c r="D390" s="33">
        <f>SUM(D387:D389)</f>
        <v>16900</v>
      </c>
      <c r="E390" s="32"/>
      <c r="F390" s="45">
        <f>SUM(F387:F389)</f>
        <v>642031000</v>
      </c>
      <c r="G390" s="45">
        <f>SUM(G387:G389)</f>
        <v>642031000</v>
      </c>
      <c r="H390" s="45">
        <f>SUM(H387:H389)</f>
        <v>0</v>
      </c>
      <c r="I390" s="34"/>
    </row>
    <row r="391" spans="1:10" x14ac:dyDescent="0.25">
      <c r="A391" s="339" t="s">
        <v>65</v>
      </c>
      <c r="B391" s="260">
        <v>46056</v>
      </c>
      <c r="C391" s="52" t="s">
        <v>237</v>
      </c>
      <c r="D391" s="261">
        <v>19975</v>
      </c>
      <c r="E391" s="261">
        <f>19270+400</f>
        <v>19670</v>
      </c>
      <c r="F391" s="39">
        <f>D391*E391</f>
        <v>392908250</v>
      </c>
      <c r="G391" s="39">
        <f>384898980+7989600+19670</f>
        <v>392908250</v>
      </c>
      <c r="H391" s="25">
        <f t="shared" ref="H391:H392" si="9">F391-G391</f>
        <v>0</v>
      </c>
      <c r="I391" s="52" t="s">
        <v>226</v>
      </c>
    </row>
    <row r="392" spans="1:10" x14ac:dyDescent="0.25">
      <c r="A392" s="346"/>
      <c r="B392" s="260" t="s">
        <v>239</v>
      </c>
      <c r="C392" s="52" t="s">
        <v>24</v>
      </c>
      <c r="D392" s="261">
        <v>40973</v>
      </c>
      <c r="E392" s="261">
        <f>27560+650</f>
        <v>28210</v>
      </c>
      <c r="F392" s="39">
        <f>D392*E392</f>
        <v>1155848330</v>
      </c>
      <c r="G392" s="39">
        <f>550000000+605848330</f>
        <v>1155848330</v>
      </c>
      <c r="H392" s="25">
        <f t="shared" si="9"/>
        <v>0</v>
      </c>
      <c r="I392" s="52" t="s">
        <v>205</v>
      </c>
      <c r="J392" s="36">
        <f>+G392-550000000</f>
        <v>605848330</v>
      </c>
    </row>
    <row r="393" spans="1:10" x14ac:dyDescent="0.25">
      <c r="A393" s="346"/>
      <c r="B393" s="37" t="s">
        <v>252</v>
      </c>
      <c r="C393" s="28" t="s">
        <v>253</v>
      </c>
      <c r="D393" s="29">
        <v>39225</v>
      </c>
      <c r="E393" s="29">
        <f>35440+200</f>
        <v>35640</v>
      </c>
      <c r="F393" s="39">
        <f>+D393*E393</f>
        <v>1397979000</v>
      </c>
      <c r="G393" s="39">
        <v>1397979000</v>
      </c>
      <c r="H393" s="25">
        <f t="shared" ref="H393" si="10">F393-G393</f>
        <v>0</v>
      </c>
      <c r="I393" s="28"/>
      <c r="J393" s="16">
        <f>+D393*200</f>
        <v>7845000</v>
      </c>
    </row>
    <row r="394" spans="1:10" x14ac:dyDescent="0.25">
      <c r="A394" s="30" t="s">
        <v>112</v>
      </c>
      <c r="B394" s="50"/>
      <c r="C394" s="51"/>
      <c r="D394" s="33">
        <f>SUM(D391:D393)</f>
        <v>100173</v>
      </c>
      <c r="E394" s="33"/>
      <c r="F394" s="45">
        <f>SUM(F391:F393)</f>
        <v>2946735580</v>
      </c>
      <c r="G394" s="45">
        <f>SUM(G391:G393)</f>
        <v>2946735580</v>
      </c>
      <c r="H394" s="45">
        <f>SUM(H391:H393)</f>
        <v>0</v>
      </c>
      <c r="I394" s="34"/>
    </row>
    <row r="395" spans="1:10" x14ac:dyDescent="0.25">
      <c r="A395" s="339" t="s">
        <v>1</v>
      </c>
      <c r="B395" s="27">
        <v>46084</v>
      </c>
      <c r="C395" s="23" t="s">
        <v>229</v>
      </c>
      <c r="D395" s="24">
        <v>37657</v>
      </c>
      <c r="E395" s="261">
        <f>19270+250</f>
        <v>19520</v>
      </c>
      <c r="F395" s="24">
        <f>D395*E395</f>
        <v>735064640</v>
      </c>
      <c r="G395" s="24">
        <v>735064640</v>
      </c>
      <c r="H395" s="25">
        <f t="shared" ref="H395:H397" si="11">F395-G395</f>
        <v>0</v>
      </c>
      <c r="I395" s="26" t="s">
        <v>227</v>
      </c>
    </row>
    <row r="396" spans="1:10" x14ac:dyDescent="0.25">
      <c r="A396" s="340"/>
      <c r="B396" s="37"/>
      <c r="C396" s="23"/>
      <c r="D396" s="29"/>
      <c r="E396" s="29"/>
      <c r="F396" s="29">
        <f>D396*E396</f>
        <v>0</v>
      </c>
      <c r="G396" s="29"/>
      <c r="H396" s="25">
        <f t="shared" si="11"/>
        <v>0</v>
      </c>
      <c r="I396" s="52"/>
    </row>
    <row r="397" spans="1:10" x14ac:dyDescent="0.25">
      <c r="A397" s="47"/>
      <c r="B397" s="40"/>
      <c r="C397" s="43"/>
      <c r="D397" s="42"/>
      <c r="E397" s="42"/>
      <c r="F397" s="42">
        <f>D397*E397</f>
        <v>0</v>
      </c>
      <c r="G397" s="54"/>
      <c r="H397" s="25">
        <f t="shared" si="11"/>
        <v>0</v>
      </c>
      <c r="I397" s="52"/>
    </row>
    <row r="398" spans="1:10" x14ac:dyDescent="0.25">
      <c r="A398" s="30" t="s">
        <v>112</v>
      </c>
      <c r="B398" s="51"/>
      <c r="C398" s="51"/>
      <c r="D398" s="33">
        <f>SUM(D395:D397)</f>
        <v>37657</v>
      </c>
      <c r="E398" s="32"/>
      <c r="F398" s="45">
        <f>SUM(F395:F397)</f>
        <v>735064640</v>
      </c>
      <c r="G398" s="45">
        <f>SUM(G395:G397)</f>
        <v>735064640</v>
      </c>
      <c r="H398" s="45">
        <f>SUM(H395:H397)</f>
        <v>0</v>
      </c>
      <c r="I398" s="34"/>
    </row>
    <row r="399" spans="1:10" x14ac:dyDescent="0.25">
      <c r="A399" s="55" t="s">
        <v>115</v>
      </c>
      <c r="B399" s="56"/>
      <c r="C399" s="56"/>
      <c r="D399" s="57">
        <f>+D382+D386+D394+D398+D390</f>
        <v>268565</v>
      </c>
      <c r="E399" s="55"/>
      <c r="F399" s="58">
        <f>+F382+F386+F394+F398</f>
        <v>6048092320</v>
      </c>
      <c r="G399" s="58">
        <f>+G382+G386+G394+G398</f>
        <v>6048092320</v>
      </c>
      <c r="H399" s="58">
        <f>+H382+H386+H394+H398+H390</f>
        <v>0</v>
      </c>
      <c r="I399" s="56"/>
    </row>
    <row r="403" spans="1:9" ht="18.75" x14ac:dyDescent="0.3">
      <c r="A403" s="341" t="s">
        <v>99</v>
      </c>
      <c r="B403" s="341"/>
      <c r="C403" s="341"/>
      <c r="D403" s="341"/>
      <c r="E403" s="341"/>
      <c r="F403" s="341"/>
      <c r="G403" s="341"/>
      <c r="H403" s="341"/>
      <c r="I403" s="341"/>
    </row>
    <row r="404" spans="1:9" x14ac:dyDescent="0.25">
      <c r="A404" s="342" t="s">
        <v>254</v>
      </c>
      <c r="B404" s="342"/>
      <c r="C404" s="342"/>
      <c r="D404" s="342"/>
      <c r="E404" s="342"/>
      <c r="F404" s="342"/>
      <c r="G404" s="342"/>
      <c r="H404" s="342"/>
      <c r="I404" s="342"/>
    </row>
    <row r="405" spans="1:9" x14ac:dyDescent="0.25">
      <c r="A405" s="17"/>
    </row>
    <row r="406" spans="1:9" x14ac:dyDescent="0.25">
      <c r="A406" s="19" t="s">
        <v>101</v>
      </c>
      <c r="B406" s="20" t="s">
        <v>102</v>
      </c>
      <c r="C406" s="20" t="s">
        <v>103</v>
      </c>
      <c r="D406" s="21" t="s">
        <v>104</v>
      </c>
      <c r="E406" s="20" t="s">
        <v>105</v>
      </c>
      <c r="F406" s="20" t="s">
        <v>106</v>
      </c>
      <c r="G406" s="20" t="s">
        <v>107</v>
      </c>
      <c r="H406" s="20" t="s">
        <v>108</v>
      </c>
      <c r="I406" s="20" t="s">
        <v>109</v>
      </c>
    </row>
    <row r="407" spans="1:9" x14ac:dyDescent="0.25">
      <c r="A407" s="343" t="s">
        <v>2</v>
      </c>
      <c r="B407" s="267" t="s">
        <v>259</v>
      </c>
      <c r="C407" s="23" t="s">
        <v>257</v>
      </c>
      <c r="D407" s="24">
        <v>19550</v>
      </c>
      <c r="E407" s="24">
        <v>32890</v>
      </c>
      <c r="F407" s="25">
        <f>D407*E407</f>
        <v>642999500</v>
      </c>
      <c r="G407" s="25">
        <f>F407</f>
        <v>642999500</v>
      </c>
      <c r="H407" s="25">
        <f>F407-G407</f>
        <v>0</v>
      </c>
      <c r="I407" s="26"/>
    </row>
    <row r="408" spans="1:9" x14ac:dyDescent="0.25">
      <c r="A408" s="345"/>
      <c r="B408" s="27"/>
      <c r="C408" s="28"/>
      <c r="D408" s="29"/>
      <c r="E408" s="29"/>
      <c r="F408" s="29">
        <f>D408*E408</f>
        <v>0</v>
      </c>
      <c r="G408" s="25">
        <f>+F408</f>
        <v>0</v>
      </c>
      <c r="H408" s="25">
        <f>F408-G408</f>
        <v>0</v>
      </c>
      <c r="I408" s="28"/>
    </row>
    <row r="409" spans="1:9" x14ac:dyDescent="0.25">
      <c r="A409" s="344"/>
      <c r="B409" s="27"/>
      <c r="C409" s="28"/>
      <c r="D409" s="42"/>
      <c r="E409" s="42"/>
      <c r="F409" s="42">
        <f>D409*E409</f>
        <v>0</v>
      </c>
      <c r="G409" s="43"/>
      <c r="H409" s="25">
        <f>F409-G409</f>
        <v>0</v>
      </c>
      <c r="I409" s="52"/>
    </row>
    <row r="410" spans="1:9" x14ac:dyDescent="0.25">
      <c r="A410" s="30" t="s">
        <v>112</v>
      </c>
      <c r="B410" s="31"/>
      <c r="C410" s="32"/>
      <c r="D410" s="33">
        <f>SUM(D407:D409)</f>
        <v>19550</v>
      </c>
      <c r="E410" s="33"/>
      <c r="F410" s="45">
        <f>SUM(F407:F409)</f>
        <v>642999500</v>
      </c>
      <c r="G410" s="33">
        <f>SUM(G407:G408)</f>
        <v>642999500</v>
      </c>
      <c r="H410" s="45">
        <f>SUM(H407:H409)</f>
        <v>0</v>
      </c>
      <c r="I410" s="34"/>
    </row>
    <row r="411" spans="1:9" x14ac:dyDescent="0.25">
      <c r="A411" s="343" t="s">
        <v>0</v>
      </c>
      <c r="B411" s="27">
        <v>46085</v>
      </c>
      <c r="C411" s="23" t="s">
        <v>257</v>
      </c>
      <c r="D411" s="24">
        <v>20500</v>
      </c>
      <c r="E411" s="24">
        <f>40820+105</f>
        <v>40925</v>
      </c>
      <c r="F411" s="25">
        <f>D411*E411</f>
        <v>838962500</v>
      </c>
      <c r="G411" s="25">
        <v>838962500</v>
      </c>
      <c r="H411" s="25">
        <f t="shared" ref="H411:H413" si="12">F411-G411</f>
        <v>0</v>
      </c>
      <c r="I411" s="26"/>
    </row>
    <row r="412" spans="1:9" x14ac:dyDescent="0.25">
      <c r="A412" s="345"/>
      <c r="B412" s="22" t="s">
        <v>260</v>
      </c>
      <c r="C412" s="23" t="s">
        <v>261</v>
      </c>
      <c r="D412" s="24">
        <v>10507</v>
      </c>
      <c r="E412" s="35">
        <v>30960</v>
      </c>
      <c r="F412" s="35">
        <f>D412*E412</f>
        <v>325296720</v>
      </c>
      <c r="G412" s="25">
        <v>325296720</v>
      </c>
      <c r="H412" s="25">
        <f t="shared" si="12"/>
        <v>0</v>
      </c>
      <c r="I412" s="26"/>
    </row>
    <row r="413" spans="1:9" x14ac:dyDescent="0.25">
      <c r="A413" s="344"/>
      <c r="B413" s="40"/>
      <c r="C413" s="41"/>
      <c r="D413" s="42"/>
      <c r="E413" s="42"/>
      <c r="F413" s="42">
        <f>D413*E413</f>
        <v>0</v>
      </c>
      <c r="G413" s="48"/>
      <c r="H413" s="25">
        <f t="shared" si="12"/>
        <v>0</v>
      </c>
      <c r="I413" s="28"/>
    </row>
    <row r="414" spans="1:9" x14ac:dyDescent="0.25">
      <c r="A414" s="30" t="s">
        <v>112</v>
      </c>
      <c r="B414" s="31"/>
      <c r="C414" s="32"/>
      <c r="D414" s="33">
        <f>SUM(D411:D413)</f>
        <v>31007</v>
      </c>
      <c r="E414" s="33"/>
      <c r="F414" s="45">
        <f>SUM(F411:F413)</f>
        <v>1164259220</v>
      </c>
      <c r="G414" s="45">
        <f>SUM(G411:G413)</f>
        <v>1164259220</v>
      </c>
      <c r="H414" s="45">
        <f>SUM(H411:H413)</f>
        <v>0</v>
      </c>
      <c r="I414" s="34"/>
    </row>
    <row r="415" spans="1:9" x14ac:dyDescent="0.25">
      <c r="A415" s="339" t="s">
        <v>11</v>
      </c>
      <c r="B415" s="245">
        <v>46299</v>
      </c>
      <c r="C415" s="23" t="s">
        <v>257</v>
      </c>
      <c r="D415" s="247">
        <f>21200+9000</f>
        <v>30200</v>
      </c>
      <c r="E415" s="247">
        <f>32890+600</f>
        <v>33490</v>
      </c>
      <c r="F415" s="248">
        <f>D415*E415</f>
        <v>1011398000</v>
      </c>
      <c r="G415" s="248">
        <v>1011398000</v>
      </c>
      <c r="H415" s="25">
        <f t="shared" ref="H415:H417" si="13">F415-G415</f>
        <v>0</v>
      </c>
      <c r="I415" s="28"/>
    </row>
    <row r="416" spans="1:9" x14ac:dyDescent="0.25">
      <c r="A416" s="346"/>
      <c r="B416" s="37"/>
      <c r="C416" s="28"/>
      <c r="D416" s="29"/>
      <c r="E416" s="29"/>
      <c r="F416" s="48">
        <f>D416*E416</f>
        <v>0</v>
      </c>
      <c r="G416" s="28"/>
      <c r="H416" s="25">
        <f t="shared" si="13"/>
        <v>0</v>
      </c>
      <c r="I416" s="28"/>
    </row>
    <row r="417" spans="1:9" x14ac:dyDescent="0.25">
      <c r="A417" s="347"/>
      <c r="B417" s="37"/>
      <c r="C417" s="28"/>
      <c r="D417" s="29"/>
      <c r="E417" s="29"/>
      <c r="F417" s="48">
        <f>D417*E417</f>
        <v>0</v>
      </c>
      <c r="G417" s="28"/>
      <c r="H417" s="25">
        <f t="shared" si="13"/>
        <v>0</v>
      </c>
      <c r="I417" s="28"/>
    </row>
    <row r="418" spans="1:9" x14ac:dyDescent="0.25">
      <c r="A418" s="30" t="s">
        <v>112</v>
      </c>
      <c r="B418" s="50"/>
      <c r="C418" s="51"/>
      <c r="D418" s="33">
        <f>SUM(D415:D417)</f>
        <v>30200</v>
      </c>
      <c r="E418" s="32"/>
      <c r="F418" s="45">
        <f>SUM(F415:F417)</f>
        <v>1011398000</v>
      </c>
      <c r="G418" s="45"/>
      <c r="H418" s="45">
        <f>SUM(H415:H417)</f>
        <v>0</v>
      </c>
      <c r="I418" s="34"/>
    </row>
    <row r="419" spans="1:9" x14ac:dyDescent="0.25">
      <c r="A419" s="339" t="s">
        <v>65</v>
      </c>
      <c r="B419" s="260" t="s">
        <v>262</v>
      </c>
      <c r="C419" s="52" t="s">
        <v>24</v>
      </c>
      <c r="D419" s="261">
        <v>40973</v>
      </c>
      <c r="E419" s="261">
        <v>27520</v>
      </c>
      <c r="F419" s="39">
        <f>D419*E419</f>
        <v>1127576960</v>
      </c>
      <c r="G419" s="39">
        <f>550000000+577576960</f>
        <v>1127576960</v>
      </c>
      <c r="H419" s="25">
        <f t="shared" ref="H419:H421" si="14">F419-G419</f>
        <v>0</v>
      </c>
      <c r="I419" s="52"/>
    </row>
    <row r="420" spans="1:9" x14ac:dyDescent="0.25">
      <c r="A420" s="346"/>
      <c r="B420" s="260"/>
      <c r="C420" s="52"/>
      <c r="D420" s="261"/>
      <c r="E420" s="261"/>
      <c r="F420" s="39">
        <f>D420*E420</f>
        <v>0</v>
      </c>
      <c r="G420" s="39"/>
      <c r="H420" s="25">
        <f t="shared" si="14"/>
        <v>0</v>
      </c>
      <c r="I420" s="52"/>
    </row>
    <row r="421" spans="1:9" x14ac:dyDescent="0.25">
      <c r="A421" s="346"/>
      <c r="B421" s="37"/>
      <c r="C421" s="28"/>
      <c r="D421" s="29"/>
      <c r="E421" s="29"/>
      <c r="F421" s="39">
        <f>D421*E421</f>
        <v>0</v>
      </c>
      <c r="G421" s="28"/>
      <c r="H421" s="25">
        <f t="shared" si="14"/>
        <v>0</v>
      </c>
      <c r="I421" s="28"/>
    </row>
    <row r="422" spans="1:9" x14ac:dyDescent="0.25">
      <c r="A422" s="30" t="s">
        <v>112</v>
      </c>
      <c r="B422" s="50"/>
      <c r="C422" s="51"/>
      <c r="D422" s="33">
        <f>SUM(D419:D421)</f>
        <v>40973</v>
      </c>
      <c r="E422" s="33"/>
      <c r="F422" s="45">
        <f>SUM(F419:F421)</f>
        <v>1127576960</v>
      </c>
      <c r="G422" s="33"/>
      <c r="H422" s="45">
        <f>SUM(H419:H421)</f>
        <v>0</v>
      </c>
      <c r="I422" s="34"/>
    </row>
    <row r="423" spans="1:9" x14ac:dyDescent="0.25">
      <c r="A423" s="339" t="s">
        <v>1</v>
      </c>
      <c r="B423" s="27">
        <v>46026</v>
      </c>
      <c r="C423" s="23" t="s">
        <v>24</v>
      </c>
      <c r="D423" s="24">
        <v>19570</v>
      </c>
      <c r="E423" s="261">
        <f>36140+500</f>
        <v>36640</v>
      </c>
      <c r="F423" s="24">
        <f>D423*E423</f>
        <v>717044800</v>
      </c>
      <c r="G423" s="24">
        <v>717044800</v>
      </c>
      <c r="H423" s="25">
        <f t="shared" ref="H423:H425" si="15">F423-G423</f>
        <v>0</v>
      </c>
      <c r="I423" s="26"/>
    </row>
    <row r="424" spans="1:9" x14ac:dyDescent="0.25">
      <c r="A424" s="340"/>
      <c r="B424" s="37" t="s">
        <v>263</v>
      </c>
      <c r="C424" s="23" t="s">
        <v>184</v>
      </c>
      <c r="D424" s="29">
        <v>21000</v>
      </c>
      <c r="E424" s="29">
        <v>26790</v>
      </c>
      <c r="F424" s="29">
        <f>D424*E424</f>
        <v>562590000</v>
      </c>
      <c r="G424" s="29">
        <v>562590000</v>
      </c>
      <c r="H424" s="25">
        <f t="shared" si="15"/>
        <v>0</v>
      </c>
      <c r="I424" s="52"/>
    </row>
    <row r="425" spans="1:9" x14ac:dyDescent="0.25">
      <c r="A425" s="47"/>
      <c r="B425" s="40"/>
      <c r="C425" s="43"/>
      <c r="D425" s="42"/>
      <c r="E425" s="42"/>
      <c r="F425" s="42">
        <f>D425*E425</f>
        <v>0</v>
      </c>
      <c r="G425" s="54"/>
      <c r="H425" s="25">
        <f t="shared" si="15"/>
        <v>0</v>
      </c>
      <c r="I425" s="52"/>
    </row>
    <row r="426" spans="1:9" x14ac:dyDescent="0.25">
      <c r="A426" s="30" t="s">
        <v>112</v>
      </c>
      <c r="B426" s="51"/>
      <c r="C426" s="51"/>
      <c r="D426" s="33">
        <f>SUM(D423:D425)</f>
        <v>40570</v>
      </c>
      <c r="E426" s="32"/>
      <c r="F426" s="45">
        <f>SUM(F423:F425)</f>
        <v>1279634800</v>
      </c>
      <c r="G426" s="45">
        <f>SUM(G423:G425)</f>
        <v>1279634800</v>
      </c>
      <c r="H426" s="45">
        <f>SUM(H423:H425)</f>
        <v>0</v>
      </c>
      <c r="I426" s="34"/>
    </row>
    <row r="427" spans="1:9" x14ac:dyDescent="0.25">
      <c r="A427" s="55" t="s">
        <v>115</v>
      </c>
      <c r="B427" s="56"/>
      <c r="C427" s="56"/>
      <c r="D427" s="57">
        <f>+D410+D414+D422+D426+D418</f>
        <v>162300</v>
      </c>
      <c r="E427" s="55"/>
      <c r="F427" s="58">
        <f>+F410+F414+F422+F426</f>
        <v>4214470480</v>
      </c>
      <c r="G427" s="58">
        <f>+G410+G414+G422+G426</f>
        <v>3086893520</v>
      </c>
      <c r="H427" s="58">
        <f>+H410+H414+H422+H426+H418</f>
        <v>0</v>
      </c>
      <c r="I427" s="56"/>
    </row>
    <row r="431" spans="1:9" ht="18.75" x14ac:dyDescent="0.3">
      <c r="A431" s="341" t="s">
        <v>99</v>
      </c>
      <c r="B431" s="341"/>
      <c r="C431" s="341"/>
      <c r="D431" s="341"/>
      <c r="E431" s="341"/>
      <c r="F431" s="341"/>
      <c r="G431" s="341"/>
      <c r="H431" s="341"/>
      <c r="I431" s="341"/>
    </row>
    <row r="432" spans="1:9" x14ac:dyDescent="0.25">
      <c r="A432" s="342" t="s">
        <v>254</v>
      </c>
      <c r="B432" s="342"/>
      <c r="C432" s="342"/>
      <c r="D432" s="342"/>
      <c r="E432" s="342"/>
      <c r="F432" s="342"/>
      <c r="G432" s="342"/>
      <c r="H432" s="342"/>
      <c r="I432" s="342"/>
    </row>
    <row r="433" spans="1:9" x14ac:dyDescent="0.25">
      <c r="A433" s="17"/>
    </row>
    <row r="434" spans="1:9" x14ac:dyDescent="0.25">
      <c r="A434" s="19" t="s">
        <v>101</v>
      </c>
      <c r="B434" s="20" t="s">
        <v>102</v>
      </c>
      <c r="C434" s="20" t="s">
        <v>103</v>
      </c>
      <c r="D434" s="21" t="s">
        <v>104</v>
      </c>
      <c r="E434" s="20" t="s">
        <v>105</v>
      </c>
      <c r="F434" s="20" t="s">
        <v>106</v>
      </c>
      <c r="G434" s="20" t="s">
        <v>107</v>
      </c>
      <c r="H434" s="20" t="s">
        <v>108</v>
      </c>
      <c r="I434" s="20" t="s">
        <v>109</v>
      </c>
    </row>
    <row r="435" spans="1:9" x14ac:dyDescent="0.25">
      <c r="A435" s="343" t="s">
        <v>2</v>
      </c>
      <c r="B435" s="267" t="s">
        <v>259</v>
      </c>
      <c r="C435" s="23" t="s">
        <v>257</v>
      </c>
      <c r="D435" s="24">
        <v>19550</v>
      </c>
      <c r="E435" s="24">
        <v>32890</v>
      </c>
      <c r="F435" s="25">
        <f>D435*E435</f>
        <v>642999500</v>
      </c>
      <c r="G435" s="25">
        <f>F435</f>
        <v>642999500</v>
      </c>
      <c r="H435" s="25">
        <f>F435-G435</f>
        <v>0</v>
      </c>
      <c r="I435" s="26"/>
    </row>
    <row r="436" spans="1:9" x14ac:dyDescent="0.25">
      <c r="A436" s="345"/>
      <c r="B436" s="27"/>
      <c r="C436" s="28"/>
      <c r="D436" s="29"/>
      <c r="E436" s="29"/>
      <c r="F436" s="29">
        <f>D436*E436</f>
        <v>0</v>
      </c>
      <c r="G436" s="25">
        <f>+F436</f>
        <v>0</v>
      </c>
      <c r="H436" s="25">
        <f>F436-G436</f>
        <v>0</v>
      </c>
      <c r="I436" s="28"/>
    </row>
    <row r="437" spans="1:9" x14ac:dyDescent="0.25">
      <c r="A437" s="344"/>
      <c r="B437" s="27"/>
      <c r="C437" s="28"/>
      <c r="D437" s="42"/>
      <c r="E437" s="42"/>
      <c r="F437" s="42">
        <f>D437*E437</f>
        <v>0</v>
      </c>
      <c r="G437" s="43"/>
      <c r="H437" s="25">
        <f>F437-G437</f>
        <v>0</v>
      </c>
      <c r="I437" s="52"/>
    </row>
    <row r="438" spans="1:9" x14ac:dyDescent="0.25">
      <c r="A438" s="30" t="s">
        <v>112</v>
      </c>
      <c r="B438" s="31"/>
      <c r="C438" s="32"/>
      <c r="D438" s="33">
        <f>SUM(D435:D437)</f>
        <v>19550</v>
      </c>
      <c r="E438" s="33"/>
      <c r="F438" s="45">
        <f>SUM(F435:F437)</f>
        <v>642999500</v>
      </c>
      <c r="G438" s="33">
        <f>SUM(G435:G436)</f>
        <v>642999500</v>
      </c>
      <c r="H438" s="45">
        <f>SUM(H435:H437)</f>
        <v>0</v>
      </c>
      <c r="I438" s="34"/>
    </row>
    <row r="439" spans="1:9" x14ac:dyDescent="0.25">
      <c r="A439" s="343" t="s">
        <v>0</v>
      </c>
      <c r="B439" s="27">
        <v>46085</v>
      </c>
      <c r="C439" s="23" t="s">
        <v>257</v>
      </c>
      <c r="D439" s="24">
        <v>20500</v>
      </c>
      <c r="E439" s="24">
        <f>40820+105</f>
        <v>40925</v>
      </c>
      <c r="F439" s="25">
        <f>D439*E439</f>
        <v>838962500</v>
      </c>
      <c r="G439" s="25">
        <v>838962500</v>
      </c>
      <c r="H439" s="25">
        <f t="shared" ref="H439:H441" si="16">F439-G439</f>
        <v>0</v>
      </c>
      <c r="I439" s="26"/>
    </row>
    <row r="440" spans="1:9" x14ac:dyDescent="0.25">
      <c r="A440" s="345"/>
      <c r="B440" s="22" t="s">
        <v>260</v>
      </c>
      <c r="C440" s="23" t="s">
        <v>261</v>
      </c>
      <c r="D440" s="24">
        <v>10507</v>
      </c>
      <c r="E440" s="35">
        <v>30960</v>
      </c>
      <c r="F440" s="35">
        <f>D440*E440</f>
        <v>325296720</v>
      </c>
      <c r="G440" s="25">
        <v>325296720</v>
      </c>
      <c r="H440" s="25">
        <f t="shared" si="16"/>
        <v>0</v>
      </c>
      <c r="I440" s="26"/>
    </row>
    <row r="441" spans="1:9" x14ac:dyDescent="0.25">
      <c r="A441" s="344"/>
      <c r="B441" s="40"/>
      <c r="C441" s="41"/>
      <c r="D441" s="42"/>
      <c r="E441" s="42"/>
      <c r="F441" s="42">
        <f>D441*E441</f>
        <v>0</v>
      </c>
      <c r="G441" s="48"/>
      <c r="H441" s="25">
        <f t="shared" si="16"/>
        <v>0</v>
      </c>
      <c r="I441" s="28"/>
    </row>
    <row r="442" spans="1:9" x14ac:dyDescent="0.25">
      <c r="A442" s="30" t="s">
        <v>112</v>
      </c>
      <c r="B442" s="31"/>
      <c r="C442" s="32"/>
      <c r="D442" s="33">
        <f>SUM(D439:D441)</f>
        <v>31007</v>
      </c>
      <c r="E442" s="33"/>
      <c r="F442" s="45">
        <f>SUM(F439:F441)</f>
        <v>1164259220</v>
      </c>
      <c r="G442" s="45">
        <f>SUM(G439:G441)</f>
        <v>1164259220</v>
      </c>
      <c r="H442" s="45">
        <f>SUM(H439:H441)</f>
        <v>0</v>
      </c>
      <c r="I442" s="34"/>
    </row>
    <row r="443" spans="1:9" x14ac:dyDescent="0.25">
      <c r="A443" s="339" t="s">
        <v>11</v>
      </c>
      <c r="B443" s="245">
        <v>46299</v>
      </c>
      <c r="C443" s="23" t="s">
        <v>257</v>
      </c>
      <c r="D443" s="247">
        <f>21200+9000</f>
        <v>30200</v>
      </c>
      <c r="E443" s="247">
        <f>32890+600</f>
        <v>33490</v>
      </c>
      <c r="F443" s="248">
        <f>D443*E443</f>
        <v>1011398000</v>
      </c>
      <c r="G443" s="248">
        <v>1011398000</v>
      </c>
      <c r="H443" s="25">
        <f t="shared" ref="H443:H445" si="17">F443-G443</f>
        <v>0</v>
      </c>
      <c r="I443" s="28"/>
    </row>
    <row r="444" spans="1:9" x14ac:dyDescent="0.25">
      <c r="A444" s="346"/>
      <c r="B444" s="37"/>
      <c r="C444" s="28"/>
      <c r="D444" s="29"/>
      <c r="E444" s="29"/>
      <c r="F444" s="48">
        <f>D444*E444</f>
        <v>0</v>
      </c>
      <c r="G444" s="28"/>
      <c r="H444" s="25">
        <f t="shared" si="17"/>
        <v>0</v>
      </c>
      <c r="I444" s="28"/>
    </row>
    <row r="445" spans="1:9" x14ac:dyDescent="0.25">
      <c r="A445" s="347"/>
      <c r="B445" s="37"/>
      <c r="C445" s="28"/>
      <c r="D445" s="29"/>
      <c r="E445" s="29"/>
      <c r="F445" s="48">
        <f>D445*E445</f>
        <v>0</v>
      </c>
      <c r="G445" s="28"/>
      <c r="H445" s="25">
        <f t="shared" si="17"/>
        <v>0</v>
      </c>
      <c r="I445" s="28"/>
    </row>
    <row r="446" spans="1:9" x14ac:dyDescent="0.25">
      <c r="A446" s="30" t="s">
        <v>112</v>
      </c>
      <c r="B446" s="50"/>
      <c r="C446" s="51"/>
      <c r="D446" s="33">
        <f>SUM(D443:D445)</f>
        <v>30200</v>
      </c>
      <c r="E446" s="32"/>
      <c r="F446" s="45">
        <f>SUM(F443:F445)</f>
        <v>1011398000</v>
      </c>
      <c r="G446" s="45"/>
      <c r="H446" s="45">
        <f>SUM(H443:H445)</f>
        <v>0</v>
      </c>
      <c r="I446" s="34"/>
    </row>
    <row r="447" spans="1:9" x14ac:dyDescent="0.25">
      <c r="A447" s="339" t="s">
        <v>65</v>
      </c>
      <c r="B447" s="260" t="s">
        <v>262</v>
      </c>
      <c r="C447" s="52" t="s">
        <v>24</v>
      </c>
      <c r="D447" s="261">
        <v>40973</v>
      </c>
      <c r="E447" s="261">
        <v>27520</v>
      </c>
      <c r="F447" s="39">
        <f>D447*E447</f>
        <v>1127576960</v>
      </c>
      <c r="G447" s="39">
        <v>550000000</v>
      </c>
      <c r="H447" s="25">
        <f t="shared" ref="H447:H449" si="18">F447-G447</f>
        <v>577576960</v>
      </c>
      <c r="I447" s="52"/>
    </row>
    <row r="448" spans="1:9" x14ac:dyDescent="0.25">
      <c r="A448" s="346"/>
      <c r="B448" s="260"/>
      <c r="C448" s="52"/>
      <c r="D448" s="261"/>
      <c r="E448" s="261"/>
      <c r="F448" s="39">
        <f>D448*E448</f>
        <v>0</v>
      </c>
      <c r="G448" s="39"/>
      <c r="H448" s="25">
        <f t="shared" si="18"/>
        <v>0</v>
      </c>
      <c r="I448" s="52"/>
    </row>
    <row r="449" spans="1:9" x14ac:dyDescent="0.25">
      <c r="A449" s="346"/>
      <c r="B449" s="37"/>
      <c r="C449" s="28"/>
      <c r="D449" s="29"/>
      <c r="E449" s="29"/>
      <c r="F449" s="39">
        <f>D449*E449</f>
        <v>0</v>
      </c>
      <c r="G449" s="28"/>
      <c r="H449" s="25">
        <f t="shared" si="18"/>
        <v>0</v>
      </c>
      <c r="I449" s="28"/>
    </row>
    <row r="450" spans="1:9" x14ac:dyDescent="0.25">
      <c r="A450" s="30" t="s">
        <v>112</v>
      </c>
      <c r="B450" s="50"/>
      <c r="C450" s="51"/>
      <c r="D450" s="33">
        <f>SUM(D447:D449)</f>
        <v>40973</v>
      </c>
      <c r="E450" s="33"/>
      <c r="F450" s="45">
        <f>SUM(F447:F449)</f>
        <v>1127576960</v>
      </c>
      <c r="G450" s="33"/>
      <c r="H450" s="45">
        <f>SUM(H447:H449)</f>
        <v>577576960</v>
      </c>
      <c r="I450" s="34"/>
    </row>
    <row r="451" spans="1:9" x14ac:dyDescent="0.25">
      <c r="A451" s="339" t="s">
        <v>1</v>
      </c>
      <c r="B451" s="27">
        <v>46026</v>
      </c>
      <c r="C451" s="23" t="s">
        <v>24</v>
      </c>
      <c r="D451" s="24">
        <v>19570</v>
      </c>
      <c r="E451" s="261">
        <f>36140+500</f>
        <v>36640</v>
      </c>
      <c r="F451" s="24">
        <f>D451*E451</f>
        <v>717044800</v>
      </c>
      <c r="G451" s="24">
        <v>717044800</v>
      </c>
      <c r="H451" s="25">
        <f t="shared" ref="H451:H453" si="19">F451-G451</f>
        <v>0</v>
      </c>
      <c r="I451" s="26"/>
    </row>
    <row r="452" spans="1:9" x14ac:dyDescent="0.25">
      <c r="A452" s="340"/>
      <c r="B452" s="37" t="s">
        <v>263</v>
      </c>
      <c r="C452" s="23" t="s">
        <v>184</v>
      </c>
      <c r="D452" s="29">
        <v>21000</v>
      </c>
      <c r="E452" s="29">
        <v>26790</v>
      </c>
      <c r="F452" s="29">
        <f>D452*E452</f>
        <v>562590000</v>
      </c>
      <c r="G452" s="29">
        <v>562590000</v>
      </c>
      <c r="H452" s="25">
        <f t="shared" si="19"/>
        <v>0</v>
      </c>
      <c r="I452" s="52"/>
    </row>
    <row r="453" spans="1:9" x14ac:dyDescent="0.25">
      <c r="A453" s="47"/>
      <c r="B453" s="40"/>
      <c r="C453" s="43"/>
      <c r="D453" s="42"/>
      <c r="E453" s="42"/>
      <c r="F453" s="42">
        <f>D453*E453</f>
        <v>0</v>
      </c>
      <c r="G453" s="54"/>
      <c r="H453" s="25">
        <f t="shared" si="19"/>
        <v>0</v>
      </c>
      <c r="I453" s="52"/>
    </row>
    <row r="454" spans="1:9" x14ac:dyDescent="0.25">
      <c r="A454" s="30" t="s">
        <v>112</v>
      </c>
      <c r="B454" s="51"/>
      <c r="C454" s="51"/>
      <c r="D454" s="33">
        <f>SUM(D451:D453)</f>
        <v>40570</v>
      </c>
      <c r="E454" s="32"/>
      <c r="F454" s="45">
        <f>SUM(F451:F453)</f>
        <v>1279634800</v>
      </c>
      <c r="G454" s="45">
        <f>SUM(G451:G453)</f>
        <v>1279634800</v>
      </c>
      <c r="H454" s="45">
        <f>SUM(H451:H453)</f>
        <v>0</v>
      </c>
      <c r="I454" s="34"/>
    </row>
    <row r="455" spans="1:9" x14ac:dyDescent="0.25">
      <c r="A455" s="55" t="s">
        <v>115</v>
      </c>
      <c r="B455" s="56"/>
      <c r="C455" s="56"/>
      <c r="D455" s="57">
        <f>+D438+D442+D450+D454+D446</f>
        <v>162300</v>
      </c>
      <c r="E455" s="55"/>
      <c r="F455" s="58">
        <f>+F438+F442+F450+F454</f>
        <v>4214470480</v>
      </c>
      <c r="G455" s="58">
        <f>+G438+G442+G450+G454</f>
        <v>3086893520</v>
      </c>
      <c r="H455" s="58">
        <f>+H438+H442+H450+H454+H446</f>
        <v>577576960</v>
      </c>
      <c r="I455" s="56"/>
    </row>
  </sheetData>
  <mergeCells count="111">
    <mergeCell ref="A431:I431"/>
    <mergeCell ref="A432:I432"/>
    <mergeCell ref="A435:A437"/>
    <mergeCell ref="A439:A441"/>
    <mergeCell ref="A443:A445"/>
    <mergeCell ref="A447:A449"/>
    <mergeCell ref="A451:A452"/>
    <mergeCell ref="A419:A421"/>
    <mergeCell ref="A423:A424"/>
    <mergeCell ref="A403:I403"/>
    <mergeCell ref="A404:I404"/>
    <mergeCell ref="A407:A409"/>
    <mergeCell ref="A411:A413"/>
    <mergeCell ref="A415:A417"/>
    <mergeCell ref="A359:A361"/>
    <mergeCell ref="A383:A385"/>
    <mergeCell ref="A387:A389"/>
    <mergeCell ref="A391:A393"/>
    <mergeCell ref="A395:A396"/>
    <mergeCell ref="A375:I375"/>
    <mergeCell ref="A376:I376"/>
    <mergeCell ref="A379:A381"/>
    <mergeCell ref="A363:A365"/>
    <mergeCell ref="A367:A368"/>
    <mergeCell ref="A347:I347"/>
    <mergeCell ref="A348:I348"/>
    <mergeCell ref="A351:A353"/>
    <mergeCell ref="A355:A357"/>
    <mergeCell ref="A339:A340"/>
    <mergeCell ref="D316:F317"/>
    <mergeCell ref="A319:I319"/>
    <mergeCell ref="A320:I320"/>
    <mergeCell ref="A323:A325"/>
    <mergeCell ref="A327:A330"/>
    <mergeCell ref="A293:A295"/>
    <mergeCell ref="A333:A334"/>
    <mergeCell ref="A336:A337"/>
    <mergeCell ref="A302:A303"/>
    <mergeCell ref="A305:A306"/>
    <mergeCell ref="A308:A309"/>
    <mergeCell ref="A297:A300"/>
    <mergeCell ref="A260:I260"/>
    <mergeCell ref="A261:I261"/>
    <mergeCell ref="A264:A266"/>
    <mergeCell ref="A268:A271"/>
    <mergeCell ref="A290:I290"/>
    <mergeCell ref="A276:A277"/>
    <mergeCell ref="A279:A280"/>
    <mergeCell ref="A238:A240"/>
    <mergeCell ref="A242:A244"/>
    <mergeCell ref="A246:A248"/>
    <mergeCell ref="A250:A251"/>
    <mergeCell ref="A253:A254"/>
    <mergeCell ref="A289:I289"/>
    <mergeCell ref="A224:A225"/>
    <mergeCell ref="A181:I181"/>
    <mergeCell ref="A182:I182"/>
    <mergeCell ref="A185:A187"/>
    <mergeCell ref="A189:A192"/>
    <mergeCell ref="A194:A196"/>
    <mergeCell ref="A198:A199"/>
    <mergeCell ref="A207:I207"/>
    <mergeCell ref="A208:I208"/>
    <mergeCell ref="A211:A213"/>
    <mergeCell ref="A215:A218"/>
    <mergeCell ref="A220:A222"/>
    <mergeCell ref="A273:A274"/>
    <mergeCell ref="A234:I234"/>
    <mergeCell ref="A235:I235"/>
    <mergeCell ref="A173:A174"/>
    <mergeCell ref="A130:I130"/>
    <mergeCell ref="A131:I131"/>
    <mergeCell ref="A134:A136"/>
    <mergeCell ref="A138:A141"/>
    <mergeCell ref="A143:A145"/>
    <mergeCell ref="A147:A148"/>
    <mergeCell ref="A156:I156"/>
    <mergeCell ref="A157:I157"/>
    <mergeCell ref="A160:A162"/>
    <mergeCell ref="A164:A167"/>
    <mergeCell ref="A169:A171"/>
    <mergeCell ref="A119:A120"/>
    <mergeCell ref="A76:I76"/>
    <mergeCell ref="A77:I77"/>
    <mergeCell ref="A80:A82"/>
    <mergeCell ref="A84:A87"/>
    <mergeCell ref="A89:A91"/>
    <mergeCell ref="A93:A94"/>
    <mergeCell ref="A102:I102"/>
    <mergeCell ref="A103:I103"/>
    <mergeCell ref="A106:A108"/>
    <mergeCell ref="A110:A113"/>
    <mergeCell ref="A115:A117"/>
    <mergeCell ref="A17:A18"/>
    <mergeCell ref="A1:I1"/>
    <mergeCell ref="A2:I2"/>
    <mergeCell ref="A5:A6"/>
    <mergeCell ref="A8:A11"/>
    <mergeCell ref="A13:A15"/>
    <mergeCell ref="A69:A70"/>
    <mergeCell ref="A26:I26"/>
    <mergeCell ref="A27:I27"/>
    <mergeCell ref="A30:A31"/>
    <mergeCell ref="A33:A36"/>
    <mergeCell ref="A38:A40"/>
    <mergeCell ref="A42:A43"/>
    <mergeCell ref="A52:I52"/>
    <mergeCell ref="A53:I53"/>
    <mergeCell ref="A56:A58"/>
    <mergeCell ref="A60:A63"/>
    <mergeCell ref="A65:A67"/>
  </mergeCells>
  <printOptions horizontalCentered="1"/>
  <pageMargins left="0.45" right="0.2" top="0.5" bottom="0.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So lieu khai thac</vt:lpstr>
      <vt:lpstr>Sheet1</vt:lpstr>
      <vt:lpstr>T10-2025</vt:lpstr>
      <vt:lpstr>T11-2025</vt:lpstr>
      <vt:lpstr>T12-2025</vt:lpstr>
      <vt:lpstr>T1-2026</vt:lpstr>
      <vt:lpstr>T2-2026</vt:lpstr>
      <vt:lpstr>D0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2025-07-31T04:13:33Z</cp:lastPrinted>
  <dcterms:created xsi:type="dcterms:W3CDTF">2021-01-06T03:12:54Z</dcterms:created>
  <dcterms:modified xsi:type="dcterms:W3CDTF">2026-05-15T18:43:11Z</dcterms:modified>
</cp:coreProperties>
</file>