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VU GIA TAM\1.TAI CHINH\Luong\"/>
    </mc:Choice>
  </mc:AlternateContent>
  <xr:revisionPtr revIDLastSave="0" documentId="13_ncr:1_{20A17059-5EAA-49B9-AE00-FFFEC14B24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4.26" sheetId="46" r:id="rId1"/>
  </sheets>
  <externalReferences>
    <externalReference r:id="rId2"/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46" l="1"/>
  <c r="J8" i="46" l="1"/>
  <c r="J9" i="46"/>
  <c r="J37" i="46"/>
  <c r="I37" i="46" l="1"/>
  <c r="J35" i="46" l="1"/>
  <c r="I35" i="46"/>
  <c r="J52" i="46" l="1"/>
  <c r="J49" i="46"/>
  <c r="J48" i="46"/>
  <c r="M16" i="46" l="1"/>
  <c r="N16" i="46"/>
  <c r="O19" i="46"/>
  <c r="O20" i="46"/>
  <c r="O21" i="46"/>
  <c r="O22" i="46"/>
  <c r="O23" i="46"/>
  <c r="O24" i="46"/>
  <c r="O25" i="46"/>
  <c r="O26" i="46"/>
  <c r="O29" i="46"/>
  <c r="M31" i="46"/>
  <c r="M90" i="46" s="1"/>
  <c r="O33" i="46"/>
  <c r="O34" i="46"/>
  <c r="O36" i="46"/>
  <c r="O37" i="46"/>
  <c r="O38" i="46"/>
  <c r="O39" i="46"/>
  <c r="O40" i="46"/>
  <c r="O41" i="46"/>
  <c r="O42" i="46"/>
  <c r="O43" i="46"/>
  <c r="O44" i="46"/>
  <c r="M46" i="46"/>
  <c r="N46" i="46"/>
  <c r="O48" i="46"/>
  <c r="O49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N62" i="46"/>
  <c r="N90" i="46" s="1"/>
  <c r="O64" i="46"/>
  <c r="O65" i="46"/>
  <c r="O66" i="46"/>
  <c r="O67" i="46"/>
  <c r="O68" i="46"/>
  <c r="O69" i="46"/>
  <c r="O70" i="46"/>
  <c r="O71" i="46"/>
  <c r="O72" i="46"/>
  <c r="O73" i="46"/>
  <c r="O74" i="46"/>
  <c r="O75" i="46"/>
  <c r="M76" i="46"/>
  <c r="N76" i="46"/>
  <c r="O78" i="46"/>
  <c r="O79" i="46"/>
  <c r="O80" i="46"/>
  <c r="O81" i="46"/>
  <c r="O82" i="46"/>
  <c r="O83" i="46"/>
  <c r="O84" i="46"/>
  <c r="O85" i="46"/>
  <c r="O86" i="46"/>
  <c r="O87" i="46"/>
  <c r="O88" i="46"/>
  <c r="J29" i="46"/>
  <c r="I29" i="46"/>
  <c r="J88" i="46"/>
  <c r="I88" i="46"/>
  <c r="J45" i="46"/>
  <c r="I45" i="46"/>
  <c r="J42" i="46"/>
  <c r="I42" i="46"/>
  <c r="W35" i="46" l="1"/>
  <c r="V35" i="46"/>
  <c r="U35" i="46"/>
  <c r="S35" i="46"/>
  <c r="R35" i="46"/>
  <c r="Q35" i="46"/>
  <c r="J75" i="46" l="1"/>
  <c r="J74" i="46"/>
  <c r="J73" i="46"/>
  <c r="J72" i="46"/>
  <c r="J71" i="46"/>
  <c r="J70" i="46"/>
  <c r="J69" i="46"/>
  <c r="J68" i="46"/>
  <c r="J67" i="46"/>
  <c r="J66" i="46"/>
  <c r="J65" i="46"/>
  <c r="J64" i="46"/>
  <c r="I75" i="46"/>
  <c r="I74" i="46"/>
  <c r="I73" i="46"/>
  <c r="I72" i="46"/>
  <c r="I71" i="46"/>
  <c r="I70" i="46"/>
  <c r="I69" i="46"/>
  <c r="K69" i="46" s="1"/>
  <c r="I68" i="46"/>
  <c r="K68" i="46" s="1"/>
  <c r="I67" i="46"/>
  <c r="I66" i="46"/>
  <c r="I65" i="46"/>
  <c r="I64" i="46"/>
  <c r="J61" i="46"/>
  <c r="J60" i="46"/>
  <c r="J59" i="46"/>
  <c r="K59" i="46" s="1"/>
  <c r="J58" i="46"/>
  <c r="J57" i="46"/>
  <c r="J56" i="46"/>
  <c r="J55" i="46"/>
  <c r="J54" i="46"/>
  <c r="J53" i="46"/>
  <c r="J51" i="46"/>
  <c r="J50" i="46"/>
  <c r="I61" i="46"/>
  <c r="I60" i="46"/>
  <c r="I59" i="46"/>
  <c r="I58" i="46"/>
  <c r="I57" i="46"/>
  <c r="I56" i="46"/>
  <c r="I55" i="46"/>
  <c r="I54" i="46"/>
  <c r="K54" i="46" s="1"/>
  <c r="I53" i="46"/>
  <c r="I52" i="46"/>
  <c r="I51" i="46"/>
  <c r="K51" i="46" s="1"/>
  <c r="I50" i="46"/>
  <c r="K50" i="46" s="1"/>
  <c r="I49" i="46"/>
  <c r="K49" i="46" s="1"/>
  <c r="I48" i="46"/>
  <c r="K45" i="46"/>
  <c r="J44" i="46"/>
  <c r="J43" i="46"/>
  <c r="J41" i="46"/>
  <c r="J40" i="46"/>
  <c r="J39" i="46"/>
  <c r="K39" i="46" s="1"/>
  <c r="J38" i="46"/>
  <c r="J36" i="46"/>
  <c r="K35" i="46"/>
  <c r="L35" i="46" s="1"/>
  <c r="J34" i="46"/>
  <c r="K34" i="46" s="1"/>
  <c r="I44" i="46"/>
  <c r="I43" i="46"/>
  <c r="I41" i="46"/>
  <c r="I40" i="46"/>
  <c r="I39" i="46"/>
  <c r="I38" i="46"/>
  <c r="K37" i="46"/>
  <c r="I36" i="46"/>
  <c r="K36" i="46" s="1"/>
  <c r="I34" i="46"/>
  <c r="J33" i="46"/>
  <c r="I33" i="46"/>
  <c r="J30" i="46"/>
  <c r="K30" i="46" s="1"/>
  <c r="I30" i="46"/>
  <c r="J28" i="46"/>
  <c r="I28" i="46"/>
  <c r="J27" i="46"/>
  <c r="K27" i="46" s="1"/>
  <c r="L27" i="46" s="1"/>
  <c r="I27" i="46"/>
  <c r="J26" i="46"/>
  <c r="I26" i="46"/>
  <c r="J25" i="46"/>
  <c r="K25" i="46" s="1"/>
  <c r="I25" i="46"/>
  <c r="J24" i="46"/>
  <c r="I24" i="46"/>
  <c r="J23" i="46"/>
  <c r="K23" i="46" s="1"/>
  <c r="I23" i="46"/>
  <c r="J22" i="46"/>
  <c r="I22" i="46"/>
  <c r="J21" i="46"/>
  <c r="K21" i="46" s="1"/>
  <c r="I21" i="46"/>
  <c r="J20" i="46"/>
  <c r="I20" i="46"/>
  <c r="J19" i="46"/>
  <c r="K19" i="46" s="1"/>
  <c r="Y90" i="46"/>
  <c r="G89" i="46"/>
  <c r="E89" i="46"/>
  <c r="D89" i="46"/>
  <c r="K88" i="46"/>
  <c r="W87" i="46"/>
  <c r="V87" i="46"/>
  <c r="U87" i="46"/>
  <c r="S87" i="46"/>
  <c r="R87" i="46"/>
  <c r="Q87" i="46"/>
  <c r="J87" i="46"/>
  <c r="I87" i="46"/>
  <c r="P86" i="46"/>
  <c r="J86" i="46"/>
  <c r="I86" i="46"/>
  <c r="P85" i="46"/>
  <c r="J85" i="46"/>
  <c r="I85" i="46"/>
  <c r="K85" i="46" s="1"/>
  <c r="P84" i="46"/>
  <c r="J84" i="46"/>
  <c r="I84" i="46"/>
  <c r="P83" i="46"/>
  <c r="J83" i="46"/>
  <c r="I83" i="46"/>
  <c r="W82" i="46"/>
  <c r="V82" i="46"/>
  <c r="U82" i="46"/>
  <c r="S82" i="46"/>
  <c r="R82" i="46"/>
  <c r="Q82" i="46"/>
  <c r="J82" i="46"/>
  <c r="I82" i="46"/>
  <c r="P81" i="46"/>
  <c r="J81" i="46"/>
  <c r="I81" i="46"/>
  <c r="H81" i="46"/>
  <c r="H89" i="46" s="1"/>
  <c r="F81" i="46"/>
  <c r="F89" i="46" s="1"/>
  <c r="P80" i="46"/>
  <c r="W80" i="46" s="1"/>
  <c r="J80" i="46"/>
  <c r="I80" i="46"/>
  <c r="K80" i="46" s="1"/>
  <c r="W79" i="46"/>
  <c r="V79" i="46"/>
  <c r="U79" i="46"/>
  <c r="S79" i="46"/>
  <c r="R79" i="46"/>
  <c r="Q79" i="46"/>
  <c r="J79" i="46"/>
  <c r="I79" i="46"/>
  <c r="P78" i="46"/>
  <c r="U78" i="46" s="1"/>
  <c r="J78" i="46"/>
  <c r="I78" i="46"/>
  <c r="H76" i="46"/>
  <c r="G76" i="46"/>
  <c r="F76" i="46"/>
  <c r="E76" i="46"/>
  <c r="D76" i="46"/>
  <c r="W75" i="46"/>
  <c r="V75" i="46"/>
  <c r="U75" i="46"/>
  <c r="S75" i="46"/>
  <c r="R75" i="46"/>
  <c r="Q75" i="46"/>
  <c r="K75" i="46"/>
  <c r="P74" i="46"/>
  <c r="P72" i="46"/>
  <c r="K72" i="46"/>
  <c r="P71" i="46"/>
  <c r="W70" i="46"/>
  <c r="V70" i="46"/>
  <c r="U70" i="46"/>
  <c r="S70" i="46"/>
  <c r="R70" i="46"/>
  <c r="Q70" i="46"/>
  <c r="P69" i="46"/>
  <c r="P68" i="46"/>
  <c r="V68" i="46" s="1"/>
  <c r="P67" i="46"/>
  <c r="K67" i="46"/>
  <c r="P66" i="46"/>
  <c r="V66" i="46" s="1"/>
  <c r="K66" i="46"/>
  <c r="P65" i="46"/>
  <c r="U65" i="46" s="1"/>
  <c r="P64" i="46"/>
  <c r="V64" i="46" s="1"/>
  <c r="H62" i="46"/>
  <c r="G62" i="46"/>
  <c r="F62" i="46"/>
  <c r="E62" i="46"/>
  <c r="D62" i="46"/>
  <c r="W61" i="46"/>
  <c r="V61" i="46"/>
  <c r="U61" i="46"/>
  <c r="S61" i="46"/>
  <c r="R61" i="46"/>
  <c r="Q61" i="46"/>
  <c r="K61" i="46"/>
  <c r="W60" i="46"/>
  <c r="V60" i="46"/>
  <c r="U60" i="46"/>
  <c r="S60" i="46"/>
  <c r="R60" i="46"/>
  <c r="Q60" i="46"/>
  <c r="P59" i="46"/>
  <c r="V59" i="46" s="1"/>
  <c r="P58" i="46"/>
  <c r="V58" i="46" s="1"/>
  <c r="P57" i="46"/>
  <c r="V57" i="46" s="1"/>
  <c r="P56" i="46"/>
  <c r="W56" i="46" s="1"/>
  <c r="P55" i="46"/>
  <c r="P54" i="46"/>
  <c r="P53" i="46"/>
  <c r="V53" i="46" s="1"/>
  <c r="P52" i="46"/>
  <c r="V52" i="46" s="1"/>
  <c r="P51" i="46"/>
  <c r="V51" i="46" s="1"/>
  <c r="P50" i="46"/>
  <c r="V50" i="46" s="1"/>
  <c r="P49" i="46"/>
  <c r="V49" i="46" s="1"/>
  <c r="P48" i="46"/>
  <c r="H46" i="46"/>
  <c r="G46" i="46"/>
  <c r="F46" i="46"/>
  <c r="E46" i="46"/>
  <c r="X45" i="46"/>
  <c r="T45" i="46"/>
  <c r="X44" i="46"/>
  <c r="T44" i="46"/>
  <c r="P43" i="46"/>
  <c r="K43" i="46"/>
  <c r="P42" i="46"/>
  <c r="P41" i="46"/>
  <c r="K41" i="46"/>
  <c r="P40" i="46"/>
  <c r="P39" i="46"/>
  <c r="D38" i="46"/>
  <c r="D46" i="46" s="1"/>
  <c r="P37" i="46"/>
  <c r="S37" i="46" s="1"/>
  <c r="P36" i="46"/>
  <c r="W36" i="46" s="1"/>
  <c r="X35" i="46"/>
  <c r="T35" i="46"/>
  <c r="P34" i="46"/>
  <c r="V34" i="46" s="1"/>
  <c r="P33" i="46"/>
  <c r="H31" i="46"/>
  <c r="G31" i="46"/>
  <c r="F31" i="46"/>
  <c r="E31" i="46"/>
  <c r="D31" i="46"/>
  <c r="W30" i="46"/>
  <c r="V30" i="46"/>
  <c r="U30" i="46"/>
  <c r="S30" i="46"/>
  <c r="R30" i="46"/>
  <c r="Q30" i="46"/>
  <c r="W29" i="46"/>
  <c r="V29" i="46"/>
  <c r="U29" i="46"/>
  <c r="S29" i="46"/>
  <c r="R29" i="46"/>
  <c r="Q29" i="46"/>
  <c r="K29" i="46"/>
  <c r="P28" i="46"/>
  <c r="P27" i="46"/>
  <c r="Q27" i="46" s="1"/>
  <c r="W26" i="46"/>
  <c r="V26" i="46"/>
  <c r="U26" i="46"/>
  <c r="S26" i="46"/>
  <c r="R26" i="46"/>
  <c r="Q26" i="46"/>
  <c r="K26" i="46"/>
  <c r="P25" i="46"/>
  <c r="U25" i="46" s="1"/>
  <c r="W24" i="46"/>
  <c r="V24" i="46"/>
  <c r="U24" i="46"/>
  <c r="S24" i="46"/>
  <c r="R24" i="46"/>
  <c r="Q24" i="46"/>
  <c r="K24" i="46"/>
  <c r="P23" i="46"/>
  <c r="V23" i="46" s="1"/>
  <c r="P22" i="46"/>
  <c r="V22" i="46" s="1"/>
  <c r="K22" i="46"/>
  <c r="P21" i="46"/>
  <c r="V21" i="46" s="1"/>
  <c r="P20" i="46"/>
  <c r="V20" i="46" s="1"/>
  <c r="K20" i="46"/>
  <c r="P19" i="46"/>
  <c r="I16" i="46"/>
  <c r="H16" i="46"/>
  <c r="G16" i="46"/>
  <c r="F16" i="46"/>
  <c r="E16" i="46"/>
  <c r="D16" i="46"/>
  <c r="P15" i="46"/>
  <c r="V15" i="46" s="1"/>
  <c r="J15" i="46"/>
  <c r="K15" i="46" s="1"/>
  <c r="W14" i="46"/>
  <c r="V14" i="46"/>
  <c r="U14" i="46"/>
  <c r="S14" i="46"/>
  <c r="R14" i="46"/>
  <c r="Q14" i="46"/>
  <c r="J14" i="46"/>
  <c r="K14" i="46" s="1"/>
  <c r="L14" i="46" s="1"/>
  <c r="P13" i="46"/>
  <c r="U13" i="46" s="1"/>
  <c r="J13" i="46"/>
  <c r="K13" i="46" s="1"/>
  <c r="L13" i="46" s="1"/>
  <c r="P12" i="46"/>
  <c r="W12" i="46" s="1"/>
  <c r="J12" i="46"/>
  <c r="K12" i="46" s="1"/>
  <c r="L12" i="46" s="1"/>
  <c r="W11" i="46"/>
  <c r="V11" i="46"/>
  <c r="U11" i="46"/>
  <c r="S11" i="46"/>
  <c r="R11" i="46"/>
  <c r="Q11" i="46"/>
  <c r="J11" i="46"/>
  <c r="K11" i="46" s="1"/>
  <c r="P10" i="46"/>
  <c r="J10" i="46"/>
  <c r="K10" i="46" s="1"/>
  <c r="W9" i="46"/>
  <c r="V9" i="46"/>
  <c r="U9" i="46"/>
  <c r="S9" i="46"/>
  <c r="R9" i="46"/>
  <c r="Q9" i="46"/>
  <c r="K9" i="46"/>
  <c r="L9" i="46" s="1"/>
  <c r="W8" i="46"/>
  <c r="V8" i="46"/>
  <c r="U8" i="46"/>
  <c r="S8" i="46"/>
  <c r="R8" i="46"/>
  <c r="Q8" i="46"/>
  <c r="K87" i="46" l="1"/>
  <c r="W59" i="46"/>
  <c r="U20" i="46"/>
  <c r="P16" i="46"/>
  <c r="R13" i="46"/>
  <c r="P62" i="46"/>
  <c r="S22" i="46"/>
  <c r="T8" i="46"/>
  <c r="X11" i="46"/>
  <c r="AA11" i="46" s="1"/>
  <c r="Q15" i="46"/>
  <c r="U15" i="46"/>
  <c r="K84" i="46"/>
  <c r="L84" i="46" s="1"/>
  <c r="Y12" i="46"/>
  <c r="H90" i="46"/>
  <c r="K83" i="46"/>
  <c r="L83" i="46" s="1"/>
  <c r="J16" i="46"/>
  <c r="X9" i="46"/>
  <c r="X26" i="46"/>
  <c r="K86" i="46"/>
  <c r="L86" i="46" s="1"/>
  <c r="E90" i="46"/>
  <c r="X24" i="46"/>
  <c r="AA24" i="46" s="1"/>
  <c r="R36" i="46"/>
  <c r="K79" i="46"/>
  <c r="K55" i="46"/>
  <c r="L55" i="46" s="1"/>
  <c r="P31" i="46"/>
  <c r="V36" i="46"/>
  <c r="G90" i="46"/>
  <c r="S19" i="46"/>
  <c r="Q20" i="46"/>
  <c r="Q22" i="46"/>
  <c r="S49" i="46"/>
  <c r="S25" i="46"/>
  <c r="W27" i="46"/>
  <c r="T29" i="46"/>
  <c r="P38" i="46"/>
  <c r="S38" i="46" s="1"/>
  <c r="W48" i="46"/>
  <c r="W49" i="46"/>
  <c r="S50" i="46"/>
  <c r="X70" i="46"/>
  <c r="X75" i="46"/>
  <c r="S78" i="46"/>
  <c r="K58" i="46"/>
  <c r="L58" i="46" s="1"/>
  <c r="X60" i="46"/>
  <c r="V78" i="46"/>
  <c r="T60" i="46"/>
  <c r="Q78" i="46"/>
  <c r="W78" i="46"/>
  <c r="K57" i="46"/>
  <c r="L57" i="46" s="1"/>
  <c r="U22" i="46"/>
  <c r="R23" i="46"/>
  <c r="R25" i="46"/>
  <c r="T26" i="46"/>
  <c r="X29" i="46"/>
  <c r="S48" i="46"/>
  <c r="R78" i="46"/>
  <c r="W10" i="46"/>
  <c r="X8" i="46"/>
  <c r="Y9" i="46" s="1"/>
  <c r="T9" i="46"/>
  <c r="Q10" i="46"/>
  <c r="X14" i="46"/>
  <c r="AA14" i="46" s="1"/>
  <c r="W15" i="46"/>
  <c r="Q19" i="46"/>
  <c r="S20" i="46"/>
  <c r="U21" i="46"/>
  <c r="W22" i="46"/>
  <c r="Q23" i="46"/>
  <c r="W23" i="46"/>
  <c r="Q25" i="46"/>
  <c r="U37" i="46"/>
  <c r="W51" i="46"/>
  <c r="W52" i="46"/>
  <c r="W53" i="46"/>
  <c r="W57" i="46"/>
  <c r="W58" i="46"/>
  <c r="S59" i="46"/>
  <c r="X61" i="46"/>
  <c r="W64" i="46"/>
  <c r="V65" i="46"/>
  <c r="V80" i="46"/>
  <c r="J89" i="46"/>
  <c r="K65" i="46"/>
  <c r="L65" i="46" s="1"/>
  <c r="K73" i="46"/>
  <c r="L73" i="46" s="1"/>
  <c r="Y73" i="46" s="1"/>
  <c r="K52" i="46"/>
  <c r="L52" i="46" s="1"/>
  <c r="T14" i="46"/>
  <c r="D90" i="46"/>
  <c r="W21" i="46"/>
  <c r="S34" i="46"/>
  <c r="Q37" i="46"/>
  <c r="V37" i="46"/>
  <c r="T61" i="46"/>
  <c r="Q80" i="46"/>
  <c r="X82" i="46"/>
  <c r="K56" i="46"/>
  <c r="L56" i="46" s="1"/>
  <c r="K60" i="46"/>
  <c r="K70" i="46"/>
  <c r="AA70" i="46" s="1"/>
  <c r="S10" i="46"/>
  <c r="U10" i="46"/>
  <c r="T11" i="46"/>
  <c r="V13" i="46"/>
  <c r="S15" i="46"/>
  <c r="U19" i="46"/>
  <c r="W20" i="46"/>
  <c r="Q21" i="46"/>
  <c r="S23" i="46"/>
  <c r="W34" i="46"/>
  <c r="R37" i="46"/>
  <c r="W37" i="46"/>
  <c r="R80" i="46"/>
  <c r="T82" i="46"/>
  <c r="X87" i="46"/>
  <c r="K71" i="46"/>
  <c r="L71" i="46" s="1"/>
  <c r="F90" i="46"/>
  <c r="W19" i="46"/>
  <c r="S21" i="46"/>
  <c r="U23" i="46"/>
  <c r="T24" i="46"/>
  <c r="V25" i="46"/>
  <c r="U36" i="46"/>
  <c r="S36" i="46"/>
  <c r="W50" i="46"/>
  <c r="S51" i="46"/>
  <c r="S52" i="46"/>
  <c r="S53" i="46"/>
  <c r="S57" i="46"/>
  <c r="S58" i="46"/>
  <c r="S64" i="46"/>
  <c r="R65" i="46"/>
  <c r="T70" i="46"/>
  <c r="U80" i="46"/>
  <c r="K82" i="46"/>
  <c r="T87" i="46"/>
  <c r="K53" i="46"/>
  <c r="L53" i="46" s="1"/>
  <c r="Y35" i="46"/>
  <c r="Z35" i="46" s="1"/>
  <c r="K74" i="46"/>
  <c r="L74" i="46" s="1"/>
  <c r="J62" i="46"/>
  <c r="K44" i="46"/>
  <c r="AA44" i="46" s="1"/>
  <c r="K42" i="46"/>
  <c r="L42" i="46" s="1"/>
  <c r="K40" i="46"/>
  <c r="K38" i="46"/>
  <c r="L38" i="46" s="1"/>
  <c r="L24" i="46"/>
  <c r="L26" i="46"/>
  <c r="AA26" i="46"/>
  <c r="L15" i="46"/>
  <c r="L11" i="46"/>
  <c r="L10" i="46"/>
  <c r="Y10" i="46" s="1"/>
  <c r="W39" i="46"/>
  <c r="S39" i="46"/>
  <c r="V39" i="46"/>
  <c r="R39" i="46"/>
  <c r="U39" i="46"/>
  <c r="Q39" i="46"/>
  <c r="W43" i="46"/>
  <c r="S43" i="46"/>
  <c r="V43" i="46"/>
  <c r="R43" i="46"/>
  <c r="U43" i="46"/>
  <c r="Q43" i="46"/>
  <c r="W74" i="46"/>
  <c r="S74" i="46"/>
  <c r="R74" i="46"/>
  <c r="V74" i="46"/>
  <c r="Q74" i="46"/>
  <c r="U74" i="46"/>
  <c r="K8" i="46"/>
  <c r="AA9" i="46"/>
  <c r="Q12" i="46"/>
  <c r="U12" i="46"/>
  <c r="S13" i="46"/>
  <c r="W13" i="46"/>
  <c r="L19" i="46"/>
  <c r="R19" i="46"/>
  <c r="V19" i="46"/>
  <c r="L20" i="46"/>
  <c r="R20" i="46"/>
  <c r="L21" i="46"/>
  <c r="R21" i="46"/>
  <c r="T21" i="46" s="1"/>
  <c r="L22" i="46"/>
  <c r="R22" i="46"/>
  <c r="L23" i="46"/>
  <c r="L25" i="46"/>
  <c r="W25" i="46"/>
  <c r="V27" i="46"/>
  <c r="R27" i="46"/>
  <c r="U27" i="46"/>
  <c r="K28" i="46"/>
  <c r="K31" i="46" s="1"/>
  <c r="L32" i="46" s="1"/>
  <c r="L34" i="46"/>
  <c r="L49" i="46"/>
  <c r="L51" i="46"/>
  <c r="L72" i="46"/>
  <c r="L79" i="46"/>
  <c r="V86" i="46"/>
  <c r="R86" i="46"/>
  <c r="U86" i="46"/>
  <c r="Q86" i="46"/>
  <c r="W86" i="46"/>
  <c r="S86" i="46"/>
  <c r="J46" i="46"/>
  <c r="K33" i="46"/>
  <c r="AA45" i="46"/>
  <c r="L45" i="46"/>
  <c r="Y45" i="46" s="1"/>
  <c r="R12" i="46"/>
  <c r="V12" i="46"/>
  <c r="I31" i="46"/>
  <c r="L30" i="46"/>
  <c r="X30" i="46"/>
  <c r="AA30" i="46" s="1"/>
  <c r="P46" i="46"/>
  <c r="W33" i="46"/>
  <c r="S33" i="46"/>
  <c r="V33" i="46"/>
  <c r="R33" i="46"/>
  <c r="U33" i="46"/>
  <c r="Q33" i="46"/>
  <c r="L36" i="46"/>
  <c r="W38" i="46"/>
  <c r="U38" i="46"/>
  <c r="L39" i="46"/>
  <c r="W40" i="46"/>
  <c r="S40" i="46"/>
  <c r="V40" i="46"/>
  <c r="R40" i="46"/>
  <c r="U40" i="46"/>
  <c r="Q40" i="46"/>
  <c r="L41" i="46"/>
  <c r="W42" i="46"/>
  <c r="S42" i="46"/>
  <c r="V42" i="46"/>
  <c r="R42" i="46"/>
  <c r="U42" i="46"/>
  <c r="Q42" i="46"/>
  <c r="L43" i="46"/>
  <c r="L66" i="46"/>
  <c r="U67" i="46"/>
  <c r="Q67" i="46"/>
  <c r="S67" i="46"/>
  <c r="W67" i="46"/>
  <c r="R67" i="46"/>
  <c r="V67" i="46"/>
  <c r="AA75" i="46"/>
  <c r="L75" i="46"/>
  <c r="L37" i="46"/>
  <c r="W41" i="46"/>
  <c r="S41" i="46"/>
  <c r="V41" i="46"/>
  <c r="R41" i="46"/>
  <c r="U41" i="46"/>
  <c r="Q41" i="46"/>
  <c r="R10" i="46"/>
  <c r="V10" i="46"/>
  <c r="S12" i="46"/>
  <c r="Q13" i="46"/>
  <c r="R15" i="46"/>
  <c r="J31" i="46"/>
  <c r="S27" i="46"/>
  <c r="W28" i="46"/>
  <c r="S28" i="46"/>
  <c r="V28" i="46"/>
  <c r="R28" i="46"/>
  <c r="U28" i="46"/>
  <c r="Q28" i="46"/>
  <c r="L29" i="46"/>
  <c r="T30" i="46"/>
  <c r="I46" i="46"/>
  <c r="AA35" i="46"/>
  <c r="I62" i="46"/>
  <c r="K48" i="46"/>
  <c r="L50" i="46"/>
  <c r="L54" i="46"/>
  <c r="V54" i="46"/>
  <c r="R54" i="46"/>
  <c r="U54" i="46"/>
  <c r="V55" i="46"/>
  <c r="R55" i="46"/>
  <c r="U55" i="46"/>
  <c r="V56" i="46"/>
  <c r="R56" i="46"/>
  <c r="U56" i="46"/>
  <c r="L59" i="46"/>
  <c r="L67" i="46"/>
  <c r="U68" i="46"/>
  <c r="Q68" i="46"/>
  <c r="S68" i="46"/>
  <c r="W68" i="46"/>
  <c r="R68" i="46"/>
  <c r="V83" i="46"/>
  <c r="R83" i="46"/>
  <c r="U83" i="46"/>
  <c r="Q83" i="46"/>
  <c r="W83" i="46"/>
  <c r="S83" i="46"/>
  <c r="L88" i="46"/>
  <c r="Y88" i="46" s="1"/>
  <c r="AA88" i="46"/>
  <c r="Q34" i="46"/>
  <c r="U34" i="46"/>
  <c r="Q48" i="46"/>
  <c r="U48" i="46"/>
  <c r="Q49" i="46"/>
  <c r="U49" i="46"/>
  <c r="X49" i="46" s="1"/>
  <c r="Q50" i="46"/>
  <c r="U50" i="46"/>
  <c r="Q51" i="46"/>
  <c r="U51" i="46"/>
  <c r="Q52" i="46"/>
  <c r="U52" i="46"/>
  <c r="Q53" i="46"/>
  <c r="U53" i="46"/>
  <c r="X53" i="46" s="1"/>
  <c r="Q54" i="46"/>
  <c r="W54" i="46"/>
  <c r="Q55" i="46"/>
  <c r="W55" i="46"/>
  <c r="Q56" i="46"/>
  <c r="I76" i="46"/>
  <c r="K64" i="46"/>
  <c r="L68" i="46"/>
  <c r="U69" i="46"/>
  <c r="Q69" i="46"/>
  <c r="S69" i="46"/>
  <c r="W69" i="46"/>
  <c r="R69" i="46"/>
  <c r="V81" i="46"/>
  <c r="R81" i="46"/>
  <c r="U81" i="46"/>
  <c r="Q81" i="46"/>
  <c r="W81" i="46"/>
  <c r="S81" i="46"/>
  <c r="V84" i="46"/>
  <c r="R84" i="46"/>
  <c r="U84" i="46"/>
  <c r="Q84" i="46"/>
  <c r="W84" i="46"/>
  <c r="S84" i="46"/>
  <c r="R34" i="46"/>
  <c r="Q36" i="46"/>
  <c r="R48" i="46"/>
  <c r="V48" i="46"/>
  <c r="R49" i="46"/>
  <c r="R50" i="46"/>
  <c r="R51" i="46"/>
  <c r="R52" i="46"/>
  <c r="R53" i="46"/>
  <c r="S54" i="46"/>
  <c r="S55" i="46"/>
  <c r="S56" i="46"/>
  <c r="L61" i="46"/>
  <c r="AA61" i="46"/>
  <c r="U66" i="46"/>
  <c r="Q66" i="46"/>
  <c r="S66" i="46"/>
  <c r="W66" i="46"/>
  <c r="R66" i="46"/>
  <c r="L69" i="46"/>
  <c r="V69" i="46"/>
  <c r="V85" i="46"/>
  <c r="R85" i="46"/>
  <c r="U85" i="46"/>
  <c r="Q85" i="46"/>
  <c r="W85" i="46"/>
  <c r="S85" i="46"/>
  <c r="J76" i="46"/>
  <c r="S65" i="46"/>
  <c r="W65" i="46"/>
  <c r="V71" i="46"/>
  <c r="R71" i="46"/>
  <c r="U71" i="46"/>
  <c r="V72" i="46"/>
  <c r="R72" i="46"/>
  <c r="U72" i="46"/>
  <c r="I89" i="46"/>
  <c r="K78" i="46"/>
  <c r="P89" i="46"/>
  <c r="L82" i="46"/>
  <c r="L85" i="46"/>
  <c r="L87" i="46"/>
  <c r="AA87" i="46"/>
  <c r="Q57" i="46"/>
  <c r="U57" i="46"/>
  <c r="Q58" i="46"/>
  <c r="U58" i="46"/>
  <c r="X58" i="46" s="1"/>
  <c r="AA58" i="46" s="1"/>
  <c r="Q59" i="46"/>
  <c r="U59" i="46"/>
  <c r="X59" i="46" s="1"/>
  <c r="AA59" i="46" s="1"/>
  <c r="Q64" i="46"/>
  <c r="U64" i="46"/>
  <c r="Q71" i="46"/>
  <c r="W71" i="46"/>
  <c r="Q72" i="46"/>
  <c r="W72" i="46"/>
  <c r="T75" i="46"/>
  <c r="P76" i="46"/>
  <c r="X79" i="46"/>
  <c r="L80" i="46"/>
  <c r="R57" i="46"/>
  <c r="R58" i="46"/>
  <c r="R59" i="46"/>
  <c r="R64" i="46"/>
  <c r="Q65" i="46"/>
  <c r="S71" i="46"/>
  <c r="S72" i="46"/>
  <c r="T79" i="46"/>
  <c r="K81" i="46"/>
  <c r="S80" i="46"/>
  <c r="Y61" i="46" l="1"/>
  <c r="Y15" i="46"/>
  <c r="X52" i="46"/>
  <c r="X50" i="46"/>
  <c r="AA50" i="46" s="1"/>
  <c r="X25" i="46"/>
  <c r="X20" i="46"/>
  <c r="X21" i="46"/>
  <c r="Y75" i="46"/>
  <c r="W16" i="46"/>
  <c r="X22" i="46"/>
  <c r="AB22" i="46" s="1"/>
  <c r="W31" i="46"/>
  <c r="X80" i="46"/>
  <c r="AA80" i="46" s="1"/>
  <c r="X15" i="46"/>
  <c r="AA15" i="46" s="1"/>
  <c r="X57" i="46"/>
  <c r="AA57" i="46" s="1"/>
  <c r="Y29" i="46"/>
  <c r="AA29" i="46" s="1"/>
  <c r="Y22" i="46"/>
  <c r="Z22" i="46" s="1"/>
  <c r="AA22" i="46" s="1"/>
  <c r="Y24" i="46"/>
  <c r="S89" i="46"/>
  <c r="T20" i="46"/>
  <c r="T19" i="46"/>
  <c r="T78" i="46"/>
  <c r="Y87" i="46"/>
  <c r="R38" i="46"/>
  <c r="T36" i="46"/>
  <c r="AA53" i="46"/>
  <c r="V16" i="46"/>
  <c r="V38" i="46"/>
  <c r="AA60" i="46"/>
  <c r="L60" i="46"/>
  <c r="Y60" i="46" s="1"/>
  <c r="T15" i="46"/>
  <c r="Q38" i="46"/>
  <c r="L70" i="46"/>
  <c r="Y70" i="46" s="1"/>
  <c r="Y26" i="46"/>
  <c r="X36" i="46"/>
  <c r="Y36" i="46" s="1"/>
  <c r="AA36" i="46" s="1"/>
  <c r="AA73" i="46"/>
  <c r="X51" i="46"/>
  <c r="AA51" i="46" s="1"/>
  <c r="X34" i="46"/>
  <c r="AA34" i="46" s="1"/>
  <c r="T42" i="46"/>
  <c r="X40" i="46"/>
  <c r="T22" i="46"/>
  <c r="T71" i="46"/>
  <c r="V76" i="46"/>
  <c r="W89" i="46"/>
  <c r="U89" i="46"/>
  <c r="Q31" i="46"/>
  <c r="X23" i="46"/>
  <c r="AB23" i="46" s="1"/>
  <c r="X78" i="46"/>
  <c r="X38" i="46"/>
  <c r="AA38" i="46" s="1"/>
  <c r="T86" i="46"/>
  <c r="X27" i="46"/>
  <c r="Y27" i="46" s="1"/>
  <c r="T39" i="46"/>
  <c r="R76" i="46"/>
  <c r="T57" i="46"/>
  <c r="T80" i="46"/>
  <c r="T66" i="46"/>
  <c r="V62" i="46"/>
  <c r="S76" i="46"/>
  <c r="X42" i="46"/>
  <c r="AA42" i="46" s="1"/>
  <c r="X39" i="46"/>
  <c r="AA39" i="46" s="1"/>
  <c r="T37" i="46"/>
  <c r="T25" i="46"/>
  <c r="X56" i="46"/>
  <c r="AA56" i="46" s="1"/>
  <c r="AB20" i="46"/>
  <c r="T59" i="46"/>
  <c r="Y58" i="46"/>
  <c r="X84" i="46"/>
  <c r="AA84" i="46" s="1"/>
  <c r="W62" i="46"/>
  <c r="T67" i="46"/>
  <c r="V89" i="46"/>
  <c r="AA25" i="46"/>
  <c r="AB25" i="46"/>
  <c r="Y20" i="46"/>
  <c r="Z20" i="46" s="1"/>
  <c r="AA20" i="46" s="1"/>
  <c r="AA40" i="46"/>
  <c r="R16" i="46"/>
  <c r="R99" i="46" s="1"/>
  <c r="V31" i="46"/>
  <c r="AA21" i="46"/>
  <c r="AB21" i="46"/>
  <c r="T23" i="46"/>
  <c r="S31" i="46"/>
  <c r="S16" i="46"/>
  <c r="S99" i="46" s="1"/>
  <c r="X13" i="46"/>
  <c r="Y14" i="46" s="1"/>
  <c r="X37" i="46"/>
  <c r="AA37" i="46" s="1"/>
  <c r="W76" i="46"/>
  <c r="S62" i="46"/>
  <c r="T84" i="46"/>
  <c r="R89" i="46"/>
  <c r="T69" i="46"/>
  <c r="T68" i="46"/>
  <c r="X41" i="46"/>
  <c r="AA41" i="46" s="1"/>
  <c r="T40" i="46"/>
  <c r="T38" i="46"/>
  <c r="P90" i="46"/>
  <c r="L44" i="46"/>
  <c r="Y44" i="46" s="1"/>
  <c r="L40" i="46"/>
  <c r="Y40" i="46" s="1"/>
  <c r="J90" i="46"/>
  <c r="I90" i="46"/>
  <c r="X55" i="46"/>
  <c r="AA55" i="46" s="1"/>
  <c r="X33" i="46"/>
  <c r="U46" i="46"/>
  <c r="K46" i="46"/>
  <c r="L47" i="46" s="1"/>
  <c r="L33" i="46"/>
  <c r="K16" i="46"/>
  <c r="L8" i="46"/>
  <c r="Y8" i="46" s="1"/>
  <c r="AA8" i="46"/>
  <c r="L81" i="46"/>
  <c r="U76" i="46"/>
  <c r="X64" i="46"/>
  <c r="Q89" i="46"/>
  <c r="L78" i="46"/>
  <c r="K89" i="46"/>
  <c r="L91" i="46" s="1"/>
  <c r="X66" i="46"/>
  <c r="AA66" i="46" s="1"/>
  <c r="X69" i="46"/>
  <c r="AA69" i="46" s="1"/>
  <c r="L64" i="46"/>
  <c r="K76" i="46"/>
  <c r="L77" i="46" s="1"/>
  <c r="T55" i="46"/>
  <c r="T53" i="46"/>
  <c r="T51" i="46"/>
  <c r="T49" i="46"/>
  <c r="T34" i="46"/>
  <c r="Y59" i="46"/>
  <c r="X19" i="46"/>
  <c r="AB19" i="46" s="1"/>
  <c r="T13" i="46"/>
  <c r="U31" i="46"/>
  <c r="R46" i="46"/>
  <c r="Y79" i="46"/>
  <c r="Z79" i="46" s="1"/>
  <c r="AA79" i="46" s="1"/>
  <c r="T27" i="46"/>
  <c r="Y21" i="46"/>
  <c r="R31" i="46"/>
  <c r="X12" i="46"/>
  <c r="X74" i="46"/>
  <c r="X10" i="46"/>
  <c r="Y11" i="46" s="1"/>
  <c r="T10" i="46"/>
  <c r="Y25" i="46"/>
  <c r="Q76" i="46"/>
  <c r="T64" i="46"/>
  <c r="X71" i="46"/>
  <c r="AA71" i="46" s="1"/>
  <c r="T85" i="46"/>
  <c r="T81" i="46"/>
  <c r="U62" i="46"/>
  <c r="X48" i="46"/>
  <c r="T83" i="46"/>
  <c r="X65" i="46"/>
  <c r="AA65" i="46" s="1"/>
  <c r="Y52" i="46"/>
  <c r="AA52" i="46" s="1"/>
  <c r="T28" i="46"/>
  <c r="Q16" i="46"/>
  <c r="Y41" i="46"/>
  <c r="V46" i="46"/>
  <c r="Y42" i="46"/>
  <c r="X86" i="46"/>
  <c r="AA86" i="46" s="1"/>
  <c r="Y19" i="46"/>
  <c r="Z19" i="46" s="1"/>
  <c r="T12" i="46"/>
  <c r="T74" i="46"/>
  <c r="T43" i="46"/>
  <c r="Y38" i="46"/>
  <c r="U16" i="46"/>
  <c r="Y82" i="46"/>
  <c r="Z82" i="46" s="1"/>
  <c r="Y66" i="46"/>
  <c r="W46" i="46"/>
  <c r="W90" i="46" s="1"/>
  <c r="S100" i="46" s="1"/>
  <c r="T72" i="46"/>
  <c r="T58" i="46"/>
  <c r="T65" i="46"/>
  <c r="X72" i="46"/>
  <c r="AA72" i="46" s="1"/>
  <c r="X85" i="46"/>
  <c r="AA85" i="46" s="1"/>
  <c r="Y69" i="46"/>
  <c r="R62" i="46"/>
  <c r="X81" i="46"/>
  <c r="T56" i="46"/>
  <c r="T54" i="46"/>
  <c r="T52" i="46"/>
  <c r="T50" i="46"/>
  <c r="Q62" i="46"/>
  <c r="T48" i="46"/>
  <c r="X83" i="46"/>
  <c r="AA83" i="46" s="1"/>
  <c r="X68" i="46"/>
  <c r="AA68" i="46" s="1"/>
  <c r="X54" i="46"/>
  <c r="AA54" i="46" s="1"/>
  <c r="K62" i="46"/>
  <c r="L63" i="46" s="1"/>
  <c r="L48" i="46"/>
  <c r="X28" i="46"/>
  <c r="AA28" i="46" s="1"/>
  <c r="T41" i="46"/>
  <c r="X67" i="46"/>
  <c r="AA67" i="46" s="1"/>
  <c r="T33" i="46"/>
  <c r="Q46" i="46"/>
  <c r="S46" i="46"/>
  <c r="Y30" i="46"/>
  <c r="Y53" i="46"/>
  <c r="Y49" i="46"/>
  <c r="AA49" i="46" s="1"/>
  <c r="L28" i="46"/>
  <c r="X43" i="46"/>
  <c r="AA43" i="46" s="1"/>
  <c r="Y50" i="46" l="1"/>
  <c r="Y80" i="46"/>
  <c r="Y28" i="46"/>
  <c r="Y57" i="46"/>
  <c r="Y71" i="46"/>
  <c r="S90" i="46"/>
  <c r="S98" i="46" s="1"/>
  <c r="S101" i="46" s="1"/>
  <c r="Y34" i="46"/>
  <c r="Y84" i="46"/>
  <c r="Z31" i="46"/>
  <c r="AA13" i="46"/>
  <c r="Y72" i="46"/>
  <c r="Y55" i="46"/>
  <c r="Y56" i="46"/>
  <c r="AA27" i="46"/>
  <c r="Y23" i="46"/>
  <c r="Z23" i="46" s="1"/>
  <c r="AA23" i="46" s="1"/>
  <c r="T31" i="46"/>
  <c r="Y51" i="46"/>
  <c r="V90" i="46"/>
  <c r="R100" i="46" s="1"/>
  <c r="Y39" i="46"/>
  <c r="T89" i="46"/>
  <c r="Y54" i="46"/>
  <c r="T46" i="46"/>
  <c r="Y37" i="46"/>
  <c r="X89" i="46"/>
  <c r="AC90" i="46" s="1"/>
  <c r="R90" i="46"/>
  <c r="R98" i="46" s="1"/>
  <c r="Y86" i="46"/>
  <c r="Q99" i="46"/>
  <c r="Q90" i="46"/>
  <c r="Q98" i="46" s="1"/>
  <c r="Y68" i="46"/>
  <c r="AA82" i="46"/>
  <c r="L31" i="46"/>
  <c r="Y83" i="46"/>
  <c r="AA74" i="46"/>
  <c r="Y74" i="46"/>
  <c r="Y78" i="46"/>
  <c r="Z78" i="46" s="1"/>
  <c r="L89" i="46"/>
  <c r="Y81" i="46"/>
  <c r="K90" i="46"/>
  <c r="K99" i="46"/>
  <c r="L17" i="46"/>
  <c r="T62" i="46"/>
  <c r="X62" i="46"/>
  <c r="AB62" i="46" s="1"/>
  <c r="AB63" i="46" s="1"/>
  <c r="Y65" i="46"/>
  <c r="T76" i="46"/>
  <c r="Y67" i="46"/>
  <c r="Y13" i="46"/>
  <c r="AA12" i="46"/>
  <c r="AA81" i="46"/>
  <c r="Y33" i="46"/>
  <c r="Z46" i="46" s="1"/>
  <c r="L46" i="46"/>
  <c r="X46" i="46"/>
  <c r="AC46" i="46" s="1"/>
  <c r="X16" i="46"/>
  <c r="AA10" i="46"/>
  <c r="L76" i="46"/>
  <c r="Y64" i="46"/>
  <c r="L16" i="46"/>
  <c r="L62" i="46"/>
  <c r="Y48" i="46"/>
  <c r="AA48" i="46" s="1"/>
  <c r="Y85" i="46"/>
  <c r="U90" i="46"/>
  <c r="Q100" i="46" s="1"/>
  <c r="Y43" i="46"/>
  <c r="T16" i="46"/>
  <c r="X31" i="46"/>
  <c r="AC31" i="46" s="1"/>
  <c r="AD31" i="46" s="1"/>
  <c r="AA19" i="46"/>
  <c r="X76" i="46"/>
  <c r="AB76" i="46" s="1"/>
  <c r="AB77" i="46" s="1"/>
  <c r="AA31" i="46" l="1"/>
  <c r="AB31" i="46" s="1"/>
  <c r="AA62" i="46"/>
  <c r="AA16" i="46"/>
  <c r="R101" i="46"/>
  <c r="T90" i="46"/>
  <c r="AA33" i="46"/>
  <c r="AA46" i="46" s="1"/>
  <c r="AB46" i="46" s="1"/>
  <c r="Z76" i="46"/>
  <c r="AA64" i="46"/>
  <c r="AA76" i="46" s="1"/>
  <c r="Z89" i="46"/>
  <c r="Z90" i="46" s="1"/>
  <c r="Q103" i="46" s="1"/>
  <c r="AA78" i="46"/>
  <c r="AA89" i="46" s="1"/>
  <c r="AB89" i="46" s="1"/>
  <c r="K92" i="46"/>
  <c r="K98" i="46"/>
  <c r="K100" i="46" s="1"/>
  <c r="Q101" i="46"/>
  <c r="Q102" i="46" s="1"/>
  <c r="L90" i="46"/>
  <c r="AB90" i="46"/>
  <c r="X90" i="46"/>
  <c r="L92" i="46"/>
  <c r="T104" i="46" l="1"/>
  <c r="AC89" i="46"/>
  <c r="AA94" i="46"/>
  <c r="T91" i="46"/>
  <c r="T92" i="46" s="1"/>
  <c r="Q104" i="46"/>
  <c r="AA90" i="46"/>
  <c r="AA95" i="46" l="1"/>
  <c r="Q105" i="46"/>
  <c r="AC47" i="46" l="1"/>
</calcChain>
</file>

<file path=xl/sharedStrings.xml><?xml version="1.0" encoding="utf-8"?>
<sst xmlns="http://schemas.openxmlformats.org/spreadsheetml/2006/main" count="210" uniqueCount="156">
  <si>
    <t>STT</t>
  </si>
  <si>
    <t>Lê Ngọc Ngọ</t>
  </si>
  <si>
    <t>Vũ Đức An</t>
  </si>
  <si>
    <t>Nguyễn Thị Nhị</t>
  </si>
  <si>
    <t>Bùi Thị Phương</t>
  </si>
  <si>
    <t>Lương Thị Bích Hằng</t>
  </si>
  <si>
    <t>Lương Anh Tuấn</t>
  </si>
  <si>
    <t>KTT</t>
  </si>
  <si>
    <t>BHXH
8%</t>
  </si>
  <si>
    <t>BHYT
1.5%</t>
  </si>
  <si>
    <t>BHTN
1%</t>
  </si>
  <si>
    <t>Cộng</t>
  </si>
  <si>
    <t>BHYT
3%</t>
  </si>
  <si>
    <t>I</t>
  </si>
  <si>
    <t>Mức lương đóng BHXH</t>
  </si>
  <si>
    <t>BỘ PHẬN QUẢN LÝ</t>
  </si>
  <si>
    <t>Vũ Đức Ngọ</t>
  </si>
  <si>
    <t>P.GĐ</t>
  </si>
  <si>
    <t>SQM</t>
  </si>
  <si>
    <t>II</t>
  </si>
  <si>
    <t>BỘ PHẬN SẢN XUẤT</t>
  </si>
  <si>
    <t>TÀU VŨ GIA 05</t>
  </si>
  <si>
    <t>CỘNG</t>
  </si>
  <si>
    <t>A</t>
  </si>
  <si>
    <t>B</t>
  </si>
  <si>
    <t>TÀU VŨ GIA 15</t>
  </si>
  <si>
    <t>D</t>
  </si>
  <si>
    <t>E</t>
  </si>
  <si>
    <t>TÀU VŨ GIA 09</t>
  </si>
  <si>
    <t>Tổng cộng</t>
  </si>
  <si>
    <t>338/111</t>
  </si>
  <si>
    <t>334/111</t>
  </si>
  <si>
    <t>Giám đốc</t>
  </si>
  <si>
    <t>Kế toán</t>
  </si>
  <si>
    <t>Thủ quỹ</t>
  </si>
  <si>
    <t>Nhân viên KD</t>
  </si>
  <si>
    <t>Thủ trưởng đơn vị</t>
  </si>
  <si>
    <t>Thủy thủ</t>
  </si>
  <si>
    <t>TÀU VŨ GIA 36</t>
  </si>
  <si>
    <t>điện thoại</t>
  </si>
  <si>
    <t>Hỗ trợ</t>
  </si>
  <si>
    <t>Tiền ăn ca</t>
  </si>
  <si>
    <t>Lương cơ bản</t>
  </si>
  <si>
    <t>Tạ Duy Trưởng</t>
  </si>
  <si>
    <t>Phụ cấp giao nhận, bảo dưỡng tàu.</t>
  </si>
  <si>
    <t>Họ và tên</t>
  </si>
  <si>
    <t>Chức vụ</t>
  </si>
  <si>
    <t>Tổng lương thực tế</t>
  </si>
  <si>
    <t>Các khoản trích vào chi phí DN</t>
  </si>
  <si>
    <t>Các khoản trích vào lương của NV</t>
  </si>
  <si>
    <t>Bùi Đình Thịnh</t>
  </si>
  <si>
    <t>Nguyễn Thái Bình</t>
  </si>
  <si>
    <t>Vũ Đình Đại</t>
  </si>
  <si>
    <t>Vũ Đức Thắng</t>
  </si>
  <si>
    <t>Thuyền trưởng</t>
  </si>
  <si>
    <t>Máy trưởng</t>
  </si>
  <si>
    <t>Thợ máy</t>
  </si>
  <si>
    <t>Tạ Quang Đức</t>
  </si>
  <si>
    <t>Phạm Văn Khiêm</t>
  </si>
  <si>
    <t>Lê Ngọc Hoàng</t>
  </si>
  <si>
    <t>Tạ Quang Hợp</t>
  </si>
  <si>
    <t>Nguyễn Xuân Soái</t>
  </si>
  <si>
    <t>Nguyễn Văn Bắc</t>
  </si>
  <si>
    <t>Nguyễn Trọng Hồng</t>
  </si>
  <si>
    <t>Nguyễn Trọng Hiếu</t>
  </si>
  <si>
    <t>Lê Ngọc Huế</t>
  </si>
  <si>
    <t>Lưu Quang Trường</t>
  </si>
  <si>
    <t>Nguyễn Đức Hiền</t>
  </si>
  <si>
    <t>Lê Đức Mừng</t>
  </si>
  <si>
    <t>Lê Ngọc Hà</t>
  </si>
  <si>
    <t>Đinh Ngọc Hà</t>
  </si>
  <si>
    <t>CTY TNHH TM VÀ VT VŨ GIA TAM</t>
  </si>
  <si>
    <t>Thuyền phó</t>
  </si>
  <si>
    <t>Lại Xuân Kiều</t>
  </si>
  <si>
    <t>Vũ Ngọc Vĩnh</t>
  </si>
  <si>
    <t>Nguyễn Xuân Toàn</t>
  </si>
  <si>
    <t>Nguyễn Văn Danh</t>
  </si>
  <si>
    <t>Phạm Văn Tứ</t>
  </si>
  <si>
    <t>BHXH
17.5%</t>
  </si>
  <si>
    <t>Nguyễn Đức Huy</t>
  </si>
  <si>
    <t>Nguyễn Đức Dũng</t>
  </si>
  <si>
    <t>Lê Văn Cường(QB)</t>
  </si>
  <si>
    <t>Hoàng Thị Diệp Linh</t>
  </si>
  <si>
    <t>Nguyễn Trọng Tuấn Anh</t>
  </si>
  <si>
    <t>Bùi Thế Tuấn Anh</t>
  </si>
  <si>
    <t>Phạm Văn Long</t>
  </si>
  <si>
    <t>Vũ Hội</t>
  </si>
  <si>
    <t>Lương 
còn lại</t>
  </si>
  <si>
    <t>Nguyễn Trọng Vũ</t>
  </si>
  <si>
    <t>Xăng xe, 
đi lại</t>
  </si>
  <si>
    <t>Bùi Đình Kha</t>
  </si>
  <si>
    <t>Đỗ Hữu Xuần</t>
  </si>
  <si>
    <t>MT</t>
  </si>
  <si>
    <t>Lê Xuân Hồng</t>
  </si>
  <si>
    <t>Thuỷ thủ</t>
  </si>
  <si>
    <t>Bếp</t>
  </si>
  <si>
    <t>Lê Ngọc Anh</t>
  </si>
  <si>
    <t>Đỗ Hữu Xoa</t>
  </si>
  <si>
    <t>Vũ Đức Trọng</t>
  </si>
  <si>
    <t>Lê Duy Tới</t>
  </si>
  <si>
    <t>Nguyễn Văn Tú</t>
  </si>
  <si>
    <t>Nguyễn Hữu Quyết</t>
  </si>
  <si>
    <t>Nguyễn Trọng Dương</t>
  </si>
  <si>
    <t>Lê Ngọc Cung</t>
  </si>
  <si>
    <t>Nguyễn Trường Giang</t>
  </si>
  <si>
    <t>Ngày ,......tháng......năm 2025</t>
  </si>
  <si>
    <t>Tiền thưởng hoàn thành công việc</t>
  </si>
  <si>
    <t>Phạm Ngọc Tùng</t>
  </si>
  <si>
    <t>Lê Duy Anh</t>
  </si>
  <si>
    <t>Nguyễn Trọng Hậu</t>
  </si>
  <si>
    <t>Phụ cấp trang phục</t>
  </si>
  <si>
    <t>Lê Văn Cường</t>
  </si>
  <si>
    <t>Bùi Thế Tiến</t>
  </si>
  <si>
    <t>2c</t>
  </si>
  <si>
    <t>Lê Thân Thắng</t>
  </si>
  <si>
    <t>3c</t>
  </si>
  <si>
    <t>Lê Ngọc Hoa</t>
  </si>
  <si>
    <t>Lê Mạnh Hùng</t>
  </si>
  <si>
    <t>CỘNG SX</t>
  </si>
  <si>
    <t>Trần Văn Phiến</t>
  </si>
  <si>
    <t xml:space="preserve">TÀU VŨ GIA 18 </t>
  </si>
  <si>
    <t>Nguyễn Đức Giang</t>
  </si>
  <si>
    <t>Nguyễn Văn Luân</t>
  </si>
  <si>
    <t>Thuyền phó 1</t>
  </si>
  <si>
    <t>SQM 1</t>
  </si>
  <si>
    <t>SQM 2</t>
  </si>
  <si>
    <t>Vũ Văn Cường</t>
  </si>
  <si>
    <t>Lê Văn Thắng</t>
  </si>
  <si>
    <t>T. phó 2</t>
  </si>
  <si>
    <t>SQB2</t>
  </si>
  <si>
    <t>Nguyễn Dương Thân</t>
  </si>
  <si>
    <t>số lượng NPT</t>
  </si>
  <si>
    <t>Giảm trừ bản thân</t>
  </si>
  <si>
    <t>giảm trừ NPT</t>
  </si>
  <si>
    <t>Thu nhập chịu thuế TNCN</t>
  </si>
  <si>
    <t xml:space="preserve">Thu nhập tính thuế </t>
  </si>
  <si>
    <t>7=(1+…6)</t>
  </si>
  <si>
    <t>8=(7-1-2-3)</t>
  </si>
  <si>
    <t>11=10*6.2tr</t>
  </si>
  <si>
    <t>16=13+14+15</t>
  </si>
  <si>
    <t>20=(17+18+19)</t>
  </si>
  <si>
    <t>21=8-9-11-20</t>
  </si>
  <si>
    <t>22=21*thuế suất</t>
  </si>
  <si>
    <t>23=7-20-22</t>
  </si>
  <si>
    <t>Thuế TNCN phải nộp</t>
  </si>
  <si>
    <t>T. phó 1</t>
  </si>
  <si>
    <t>Nguyễn Trọng Vinh</t>
  </si>
  <si>
    <t>T. phó 2/tt</t>
  </si>
  <si>
    <t>Trần Bá Trọng</t>
  </si>
  <si>
    <t>Lại Xuân Hà</t>
  </si>
  <si>
    <t>334/3335</t>
  </si>
  <si>
    <t>Lê Bá Thạo</t>
  </si>
  <si>
    <t>Thợ máy/sq</t>
  </si>
  <si>
    <t>Thuyền phó 2</t>
  </si>
  <si>
    <t>Thủy thủ/ql</t>
  </si>
  <si>
    <t>BẢNG THANH TOÁN LƯƠNG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</si>
</sst>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.VnTimeH"/>
      <family val="2"/>
    </font>
    <font>
      <b/>
      <sz val="11"/>
      <name val=".VnUniverseH"/>
      <family val="2"/>
    </font>
    <font>
      <sz val="11"/>
      <name val=".VnArial Narrow"/>
      <family val="2"/>
    </font>
    <font>
      <sz val="12"/>
      <name val=".VnTime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14"/>
      <name val=".VnTimeH"/>
      <family val="2"/>
    </font>
    <font>
      <sz val="11"/>
      <name val="Times New Roman"/>
      <family val="1"/>
    </font>
    <font>
      <sz val="11"/>
      <color theme="1"/>
      <name val=".VnArial Narrow"/>
      <family val="2"/>
    </font>
    <font>
      <i/>
      <sz val="12"/>
      <color theme="1"/>
      <name val=".VnArial Narrow"/>
      <family val="2"/>
    </font>
    <font>
      <sz val="11"/>
      <color rgb="FFFF0000"/>
      <name val=".VnArial Narrow"/>
      <family val="2"/>
    </font>
    <font>
      <sz val="12"/>
      <color rgb="FFFF0000"/>
      <name val=".VnArial Narrow"/>
      <family val="2"/>
    </font>
    <font>
      <sz val="11"/>
      <name val="Calibri"/>
      <family val="2"/>
      <scheme val="minor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2"/>
      <color rgb="FFFF0000"/>
      <name val="Times New Roman"/>
      <family val="1"/>
    </font>
    <font>
      <b/>
      <sz val="11"/>
      <name val="Times New Roman"/>
      <family val="1"/>
    </font>
    <font>
      <b/>
      <sz val="11"/>
      <name val=".VnArial Narrow"/>
      <family val="2"/>
    </font>
    <font>
      <b/>
      <sz val="12"/>
      <name val=".VnArial Narrow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name val=".VnTimeH"/>
      <family val="2"/>
    </font>
    <font>
      <sz val="11"/>
      <name val=".VnUniverseH"/>
      <family val="2"/>
    </font>
    <font>
      <sz val="12"/>
      <name val=".VnArial Narrow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ED0000"/>
      <name val="Times New Roman"/>
      <family val="1"/>
    </font>
    <font>
      <b/>
      <sz val="12"/>
      <color rgb="FFED0000"/>
      <name val="Times New Roman"/>
      <family val="1"/>
    </font>
    <font>
      <sz val="11"/>
      <color rgb="FFED0000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b/>
      <i/>
      <sz val="12"/>
      <name val="Times New Roman"/>
      <family val="1"/>
    </font>
    <font>
      <b/>
      <sz val="12"/>
      <name val=".VnArial Narrow"/>
    </font>
    <font>
      <sz val="12"/>
      <color rgb="FF7030A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402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0" fontId="7" fillId="0" borderId="8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43" fontId="6" fillId="0" borderId="24" xfId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vertical="center" wrapText="1"/>
    </xf>
    <xf numFmtId="43" fontId="7" fillId="0" borderId="10" xfId="1" applyFont="1" applyFill="1" applyBorder="1" applyAlignment="1">
      <alignment vertical="center" wrapText="1"/>
    </xf>
    <xf numFmtId="3" fontId="6" fillId="2" borderId="24" xfId="0" applyNumberFormat="1" applyFont="1" applyFill="1" applyBorder="1" applyAlignment="1">
      <alignment vertical="center" wrapText="1"/>
    </xf>
    <xf numFmtId="3" fontId="6" fillId="3" borderId="24" xfId="0" applyNumberFormat="1" applyFont="1" applyFill="1" applyBorder="1" applyAlignment="1">
      <alignment vertical="center" wrapText="1"/>
    </xf>
    <xf numFmtId="164" fontId="6" fillId="3" borderId="24" xfId="1" applyNumberFormat="1" applyFont="1" applyFill="1" applyBorder="1" applyAlignment="1">
      <alignment vertical="center" wrapText="1"/>
    </xf>
    <xf numFmtId="164" fontId="7" fillId="3" borderId="9" xfId="1" applyNumberFormat="1" applyFont="1" applyFill="1" applyBorder="1" applyAlignment="1">
      <alignment vertical="center" wrapText="1"/>
    </xf>
    <xf numFmtId="164" fontId="7" fillId="3" borderId="10" xfId="1" applyNumberFormat="1" applyFont="1" applyFill="1" applyBorder="1" applyAlignment="1">
      <alignment vertical="center" wrapText="1"/>
    </xf>
    <xf numFmtId="3" fontId="7" fillId="0" borderId="10" xfId="2" applyNumberFormat="1" applyFont="1" applyBorder="1"/>
    <xf numFmtId="3" fontId="7" fillId="0" borderId="24" xfId="2" applyNumberFormat="1" applyFont="1" applyBorder="1"/>
    <xf numFmtId="3" fontId="6" fillId="2" borderId="11" xfId="0" applyNumberFormat="1" applyFont="1" applyFill="1" applyBorder="1" applyAlignment="1">
      <alignment vertical="center" wrapText="1"/>
    </xf>
    <xf numFmtId="3" fontId="6" fillId="2" borderId="16" xfId="0" applyNumberFormat="1" applyFont="1" applyFill="1" applyBorder="1" applyAlignment="1">
      <alignment vertical="center" wrapText="1"/>
    </xf>
    <xf numFmtId="3" fontId="7" fillId="0" borderId="13" xfId="0" applyNumberFormat="1" applyFont="1" applyBorder="1" applyAlignment="1">
      <alignment vertical="center" wrapText="1"/>
    </xf>
    <xf numFmtId="0" fontId="7" fillId="0" borderId="10" xfId="0" applyFont="1" applyBorder="1" applyAlignment="1">
      <alignment horizontal="center" wrapText="1"/>
    </xf>
    <xf numFmtId="0" fontId="11" fillId="0" borderId="0" xfId="0" applyFont="1"/>
    <xf numFmtId="3" fontId="11" fillId="0" borderId="0" xfId="0" applyNumberFormat="1" applyFont="1"/>
    <xf numFmtId="164" fontId="11" fillId="0" borderId="0" xfId="0" applyNumberFormat="1" applyFont="1"/>
    <xf numFmtId="43" fontId="11" fillId="0" borderId="0" xfId="1" applyFont="1"/>
    <xf numFmtId="0" fontId="14" fillId="0" borderId="10" xfId="0" applyFont="1" applyBorder="1" applyAlignment="1">
      <alignment horizontal="left"/>
    </xf>
    <xf numFmtId="0" fontId="15" fillId="0" borderId="0" xfId="0" applyFont="1"/>
    <xf numFmtId="0" fontId="17" fillId="0" borderId="0" xfId="0" applyFont="1"/>
    <xf numFmtId="0" fontId="6" fillId="0" borderId="7" xfId="0" applyFont="1" applyBorder="1" applyAlignment="1">
      <alignment horizontal="center" vertical="distributed" wrapText="1"/>
    </xf>
    <xf numFmtId="0" fontId="7" fillId="0" borderId="10" xfId="0" applyFont="1" applyBorder="1" applyAlignment="1">
      <alignment horizontal="left"/>
    </xf>
    <xf numFmtId="164" fontId="17" fillId="0" borderId="0" xfId="0" applyNumberFormat="1" applyFont="1"/>
    <xf numFmtId="164" fontId="7" fillId="0" borderId="10" xfId="1" applyNumberFormat="1" applyFont="1" applyFill="1" applyBorder="1" applyAlignment="1">
      <alignment vertical="center" wrapText="1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left" vertical="center" wrapText="1"/>
    </xf>
    <xf numFmtId="3" fontId="17" fillId="0" borderId="0" xfId="0" applyNumberFormat="1" applyFont="1"/>
    <xf numFmtId="0" fontId="6" fillId="0" borderId="23" xfId="0" applyFont="1" applyBorder="1" applyAlignment="1">
      <alignment horizontal="center"/>
    </xf>
    <xf numFmtId="0" fontId="6" fillId="0" borderId="24" xfId="0" applyFont="1" applyBorder="1"/>
    <xf numFmtId="3" fontId="7" fillId="0" borderId="9" xfId="2" quotePrefix="1" applyNumberFormat="1" applyFont="1" applyBorder="1" applyAlignment="1">
      <alignment horizontal="right"/>
    </xf>
    <xf numFmtId="164" fontId="7" fillId="3" borderId="9" xfId="1" applyNumberFormat="1" applyFont="1" applyFill="1" applyBorder="1" applyAlignment="1">
      <alignment wrapText="1"/>
    </xf>
    <xf numFmtId="3" fontId="7" fillId="0" borderId="10" xfId="2" applyNumberFormat="1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3" fontId="7" fillId="0" borderId="24" xfId="2" applyNumberFormat="1" applyFont="1" applyBorder="1" applyAlignment="1">
      <alignment horizontal="center"/>
    </xf>
    <xf numFmtId="0" fontId="7" fillId="3" borderId="10" xfId="0" applyFont="1" applyFill="1" applyBorder="1" applyAlignment="1">
      <alignment horizontal="left"/>
    </xf>
    <xf numFmtId="3" fontId="7" fillId="0" borderId="9" xfId="2" applyNumberFormat="1" applyFont="1" applyBorder="1"/>
    <xf numFmtId="3" fontId="7" fillId="0" borderId="12" xfId="2" applyNumberFormat="1" applyFont="1" applyBorder="1"/>
    <xf numFmtId="0" fontId="7" fillId="0" borderId="26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10" fillId="0" borderId="0" xfId="0" applyFont="1"/>
    <xf numFmtId="0" fontId="17" fillId="0" borderId="0" xfId="0" applyFont="1" applyAlignment="1">
      <alignment horizontal="left"/>
    </xf>
    <xf numFmtId="164" fontId="17" fillId="0" borderId="0" xfId="1" applyNumberFormat="1" applyFont="1"/>
    <xf numFmtId="164" fontId="7" fillId="0" borderId="10" xfId="1" quotePrefix="1" applyNumberFormat="1" applyFont="1" applyBorder="1" applyAlignment="1">
      <alignment horizontal="right"/>
    </xf>
    <xf numFmtId="164" fontId="7" fillId="0" borderId="9" xfId="1" applyNumberFormat="1" applyFont="1" applyBorder="1"/>
    <xf numFmtId="164" fontId="7" fillId="0" borderId="9" xfId="1" quotePrefix="1" applyNumberFormat="1" applyFont="1" applyBorder="1" applyAlignment="1">
      <alignment horizontal="right"/>
    </xf>
    <xf numFmtId="164" fontId="7" fillId="0" borderId="10" xfId="1" applyNumberFormat="1" applyFont="1" applyBorder="1"/>
    <xf numFmtId="0" fontId="12" fillId="0" borderId="0" xfId="0" applyFont="1" applyAlignment="1">
      <alignment horizontal="center"/>
    </xf>
    <xf numFmtId="0" fontId="19" fillId="0" borderId="2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9" xfId="0" applyFont="1" applyBorder="1" applyAlignment="1">
      <alignment horizontal="center" vertical="center" wrapText="1"/>
    </xf>
    <xf numFmtId="3" fontId="7" fillId="0" borderId="9" xfId="0" applyNumberFormat="1" applyFont="1" applyBorder="1" applyAlignment="1">
      <alignment horizontal="right" wrapText="1"/>
    </xf>
    <xf numFmtId="3" fontId="6" fillId="0" borderId="9" xfId="0" applyNumberFormat="1" applyFont="1" applyBorder="1" applyAlignment="1">
      <alignment horizontal="right" wrapText="1"/>
    </xf>
    <xf numFmtId="0" fontId="6" fillId="0" borderId="23" xfId="0" applyFont="1" applyBorder="1" applyAlignment="1">
      <alignment horizontal="center" vertical="distributed"/>
    </xf>
    <xf numFmtId="0" fontId="18" fillId="0" borderId="24" xfId="0" applyFont="1" applyBorder="1" applyAlignment="1">
      <alignment horizontal="left" vertical="distributed"/>
    </xf>
    <xf numFmtId="0" fontId="6" fillId="0" borderId="24" xfId="0" applyFont="1" applyBorder="1" applyAlignment="1">
      <alignment horizontal="left" vertical="distributed"/>
    </xf>
    <xf numFmtId="3" fontId="6" fillId="0" borderId="9" xfId="2" quotePrefix="1" applyNumberFormat="1" applyFont="1" applyBorder="1" applyAlignment="1">
      <alignment horizontal="right"/>
    </xf>
    <xf numFmtId="3" fontId="6" fillId="0" borderId="10" xfId="2" quotePrefix="1" applyNumberFormat="1" applyFont="1" applyBorder="1" applyAlignment="1">
      <alignment horizontal="right"/>
    </xf>
    <xf numFmtId="3" fontId="6" fillId="0" borderId="24" xfId="2" applyNumberFormat="1" applyFont="1" applyBorder="1"/>
    <xf numFmtId="3" fontId="6" fillId="0" borderId="13" xfId="2" quotePrefix="1" applyNumberFormat="1" applyFont="1" applyBorder="1" applyAlignment="1">
      <alignment horizontal="right"/>
    </xf>
    <xf numFmtId="3" fontId="6" fillId="0" borderId="9" xfId="2" applyNumberFormat="1" applyFont="1" applyBorder="1"/>
    <xf numFmtId="164" fontId="20" fillId="0" borderId="0" xfId="1" applyNumberFormat="1" applyFont="1"/>
    <xf numFmtId="43" fontId="21" fillId="0" borderId="0" xfId="1" applyFont="1"/>
    <xf numFmtId="0" fontId="22" fillId="0" borderId="10" xfId="0" applyFont="1" applyBorder="1" applyAlignment="1">
      <alignment horizontal="left"/>
    </xf>
    <xf numFmtId="0" fontId="23" fillId="0" borderId="0" xfId="0" applyFont="1"/>
    <xf numFmtId="3" fontId="23" fillId="0" borderId="0" xfId="0" applyNumberFormat="1" applyFont="1"/>
    <xf numFmtId="164" fontId="23" fillId="0" borderId="0" xfId="0" applyNumberFormat="1" applyFont="1"/>
    <xf numFmtId="164" fontId="7" fillId="0" borderId="12" xfId="1" quotePrefix="1" applyNumberFormat="1" applyFont="1" applyBorder="1" applyAlignment="1">
      <alignment horizontal="right"/>
    </xf>
    <xf numFmtId="43" fontId="7" fillId="0" borderId="13" xfId="1" applyFont="1" applyFill="1" applyBorder="1" applyAlignment="1">
      <alignment vertical="center" wrapText="1"/>
    </xf>
    <xf numFmtId="164" fontId="6" fillId="0" borderId="9" xfId="1" applyNumberFormat="1" applyFont="1" applyFill="1" applyBorder="1" applyAlignment="1">
      <alignment horizontal="right" wrapText="1"/>
    </xf>
    <xf numFmtId="164" fontId="7" fillId="0" borderId="9" xfId="1" applyNumberFormat="1" applyFont="1" applyFill="1" applyBorder="1" applyAlignment="1">
      <alignment horizontal="right" wrapText="1"/>
    </xf>
    <xf numFmtId="164" fontId="7" fillId="0" borderId="10" xfId="1" applyNumberFormat="1" applyFont="1" applyFill="1" applyBorder="1" applyAlignment="1">
      <alignment horizontal="right" wrapText="1"/>
    </xf>
    <xf numFmtId="3" fontId="27" fillId="0" borderId="0" xfId="0" applyNumberFormat="1" applyFont="1"/>
    <xf numFmtId="43" fontId="6" fillId="0" borderId="9" xfId="1" applyFont="1" applyFill="1" applyBorder="1" applyAlignment="1">
      <alignment horizontal="right" wrapText="1"/>
    </xf>
    <xf numFmtId="164" fontId="7" fillId="0" borderId="10" xfId="1" applyNumberFormat="1" applyFont="1" applyBorder="1" applyAlignment="1">
      <alignment horizontal="right"/>
    </xf>
    <xf numFmtId="164" fontId="11" fillId="0" borderId="0" xfId="1" applyNumberFormat="1" applyFont="1"/>
    <xf numFmtId="3" fontId="6" fillId="3" borderId="11" xfId="0" applyNumberFormat="1" applyFont="1" applyFill="1" applyBorder="1" applyAlignment="1">
      <alignment vertical="center" wrapText="1"/>
    </xf>
    <xf numFmtId="164" fontId="17" fillId="3" borderId="0" xfId="0" applyNumberFormat="1" applyFont="1" applyFill="1"/>
    <xf numFmtId="0" fontId="0" fillId="3" borderId="0" xfId="0" applyFill="1"/>
    <xf numFmtId="0" fontId="6" fillId="0" borderId="11" xfId="0" applyFont="1" applyBorder="1"/>
    <xf numFmtId="0" fontId="7" fillId="3" borderId="8" xfId="0" applyFont="1" applyFill="1" applyBorder="1" applyAlignment="1">
      <alignment horizontal="center"/>
    </xf>
    <xf numFmtId="3" fontId="6" fillId="3" borderId="10" xfId="0" applyNumberFormat="1" applyFont="1" applyFill="1" applyBorder="1" applyAlignment="1">
      <alignment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3" fontId="7" fillId="0" borderId="33" xfId="0" applyNumberFormat="1" applyFont="1" applyBorder="1" applyAlignment="1">
      <alignment vertical="center" wrapText="1"/>
    </xf>
    <xf numFmtId="3" fontId="6" fillId="0" borderId="10" xfId="2" applyNumberFormat="1" applyFont="1" applyBorder="1"/>
    <xf numFmtId="3" fontId="7" fillId="3" borderId="11" xfId="0" applyNumberFormat="1" applyFont="1" applyFill="1" applyBorder="1" applyAlignment="1">
      <alignment vertical="center" wrapText="1"/>
    </xf>
    <xf numFmtId="3" fontId="7" fillId="3" borderId="10" xfId="0" applyNumberFormat="1" applyFont="1" applyFill="1" applyBorder="1" applyAlignment="1">
      <alignment vertical="center" wrapText="1"/>
    </xf>
    <xf numFmtId="0" fontId="7" fillId="3" borderId="34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3" fontId="7" fillId="3" borderId="13" xfId="0" applyNumberFormat="1" applyFont="1" applyFill="1" applyBorder="1" applyAlignment="1">
      <alignment vertical="center" wrapText="1"/>
    </xf>
    <xf numFmtId="164" fontId="0" fillId="0" borderId="0" xfId="1" applyNumberFormat="1" applyFont="1"/>
    <xf numFmtId="0" fontId="15" fillId="3" borderId="0" xfId="0" applyFont="1" applyFill="1"/>
    <xf numFmtId="164" fontId="15" fillId="0" borderId="0" xfId="0" applyNumberFormat="1" applyFont="1"/>
    <xf numFmtId="0" fontId="7" fillId="3" borderId="13" xfId="0" applyFont="1" applyFill="1" applyBorder="1" applyAlignment="1">
      <alignment horizontal="left"/>
    </xf>
    <xf numFmtId="3" fontId="7" fillId="3" borderId="10" xfId="2" applyNumberFormat="1" applyFont="1" applyFill="1" applyBorder="1" applyAlignment="1">
      <alignment horizontal="center"/>
    </xf>
    <xf numFmtId="164" fontId="7" fillId="3" borderId="13" xfId="1" applyNumberFormat="1" applyFont="1" applyFill="1" applyBorder="1" applyAlignment="1">
      <alignment vertical="center" wrapText="1"/>
    </xf>
    <xf numFmtId="3" fontId="7" fillId="0" borderId="12" xfId="0" applyNumberFormat="1" applyFont="1" applyBorder="1" applyAlignment="1">
      <alignment vertical="center" wrapText="1"/>
    </xf>
    <xf numFmtId="3" fontId="7" fillId="0" borderId="12" xfId="2" applyNumberFormat="1" applyFont="1" applyBorder="1" applyAlignment="1">
      <alignment horizontal="center"/>
    </xf>
    <xf numFmtId="164" fontId="7" fillId="3" borderId="12" xfId="1" applyNumberFormat="1" applyFont="1" applyFill="1" applyBorder="1" applyAlignment="1">
      <alignment vertical="center" wrapText="1"/>
    </xf>
    <xf numFmtId="0" fontId="6" fillId="0" borderId="7" xfId="0" applyFont="1" applyBorder="1" applyAlignment="1">
      <alignment horizontal="center" vertical="distributed"/>
    </xf>
    <xf numFmtId="43" fontId="7" fillId="0" borderId="9" xfId="1" applyFont="1" applyFill="1" applyBorder="1" applyAlignment="1">
      <alignment wrapText="1"/>
    </xf>
    <xf numFmtId="164" fontId="29" fillId="0" borderId="0" xfId="1" applyNumberFormat="1" applyFont="1"/>
    <xf numFmtId="0" fontId="7" fillId="3" borderId="12" xfId="0" applyFont="1" applyFill="1" applyBorder="1" applyAlignment="1">
      <alignment horizontal="left"/>
    </xf>
    <xf numFmtId="0" fontId="7" fillId="0" borderId="13" xfId="0" applyFont="1" applyBorder="1" applyAlignment="1">
      <alignment horizontal="left"/>
    </xf>
    <xf numFmtId="3" fontId="13" fillId="3" borderId="0" xfId="0" applyNumberFormat="1" applyFont="1" applyFill="1"/>
    <xf numFmtId="3" fontId="7" fillId="0" borderId="9" xfId="0" applyNumberFormat="1" applyFont="1" applyBorder="1" applyAlignment="1">
      <alignment vertical="center" wrapText="1"/>
    </xf>
    <xf numFmtId="3" fontId="28" fillId="0" borderId="0" xfId="0" applyNumberFormat="1" applyFont="1"/>
    <xf numFmtId="43" fontId="8" fillId="0" borderId="0" xfId="1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24" xfId="0" applyFont="1" applyBorder="1" applyAlignment="1">
      <alignment horizontal="right" vertical="distributed" wrapText="1"/>
    </xf>
    <xf numFmtId="164" fontId="6" fillId="3" borderId="24" xfId="1" applyNumberFormat="1" applyFont="1" applyFill="1" applyBorder="1" applyAlignment="1">
      <alignment horizontal="right" vertical="center" wrapText="1"/>
    </xf>
    <xf numFmtId="164" fontId="7" fillId="3" borderId="10" xfId="1" applyNumberFormat="1" applyFont="1" applyFill="1" applyBorder="1" applyAlignment="1">
      <alignment horizontal="right" vertical="center" wrapText="1"/>
    </xf>
    <xf numFmtId="164" fontId="7" fillId="3" borderId="9" xfId="1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164" fontId="7" fillId="3" borderId="12" xfId="1" applyNumberFormat="1" applyFont="1" applyFill="1" applyBorder="1" applyAlignment="1">
      <alignment horizontal="right" vertical="center" wrapText="1"/>
    </xf>
    <xf numFmtId="3" fontId="6" fillId="2" borderId="24" xfId="0" applyNumberFormat="1" applyFont="1" applyFill="1" applyBorder="1" applyAlignment="1">
      <alignment horizontal="right" vertical="center" wrapText="1"/>
    </xf>
    <xf numFmtId="164" fontId="7" fillId="3" borderId="13" xfId="1" applyNumberFormat="1" applyFont="1" applyFill="1" applyBorder="1" applyAlignment="1">
      <alignment horizontal="right" vertical="center" wrapText="1"/>
    </xf>
    <xf numFmtId="3" fontId="6" fillId="2" borderId="11" xfId="0" applyNumberFormat="1" applyFont="1" applyFill="1" applyBorder="1" applyAlignment="1">
      <alignment horizontal="right" vertical="center" wrapText="1"/>
    </xf>
    <xf numFmtId="3" fontId="7" fillId="3" borderId="13" xfId="0" applyNumberFormat="1" applyFont="1" applyFill="1" applyBorder="1" applyAlignment="1">
      <alignment horizontal="right" vertical="center" wrapText="1"/>
    </xf>
    <xf numFmtId="3" fontId="7" fillId="3" borderId="12" xfId="0" applyNumberFormat="1" applyFont="1" applyFill="1" applyBorder="1" applyAlignment="1">
      <alignment horizontal="right" vertical="center" wrapText="1"/>
    </xf>
    <xf numFmtId="164" fontId="17" fillId="0" borderId="0" xfId="1" applyNumberFormat="1" applyFont="1" applyAlignment="1">
      <alignment horizontal="right"/>
    </xf>
    <xf numFmtId="0" fontId="17" fillId="0" borderId="0" xfId="0" applyFont="1" applyAlignment="1">
      <alignment horizontal="right"/>
    </xf>
    <xf numFmtId="164" fontId="7" fillId="0" borderId="10" xfId="1" applyNumberFormat="1" applyFont="1" applyFill="1" applyBorder="1" applyAlignment="1">
      <alignment horizontal="right" vertical="center" wrapText="1"/>
    </xf>
    <xf numFmtId="164" fontId="7" fillId="3" borderId="9" xfId="1" applyNumberFormat="1" applyFont="1" applyFill="1" applyBorder="1" applyAlignment="1">
      <alignment horizontal="right" wrapText="1"/>
    </xf>
    <xf numFmtId="43" fontId="8" fillId="0" borderId="0" xfId="1" applyFont="1" applyAlignment="1"/>
    <xf numFmtId="0" fontId="6" fillId="0" borderId="24" xfId="0" applyFont="1" applyBorder="1" applyAlignment="1">
      <alignment vertical="distributed" wrapText="1"/>
    </xf>
    <xf numFmtId="164" fontId="7" fillId="0" borderId="9" xfId="1" applyNumberFormat="1" applyFont="1" applyFill="1" applyBorder="1" applyAlignment="1">
      <alignment wrapText="1"/>
    </xf>
    <xf numFmtId="164" fontId="17" fillId="0" borderId="0" xfId="1" applyNumberFormat="1" applyFont="1" applyAlignment="1"/>
    <xf numFmtId="43" fontId="6" fillId="0" borderId="24" xfId="1" applyFont="1" applyBorder="1" applyAlignment="1">
      <alignment horizontal="right" vertical="center" wrapText="1"/>
    </xf>
    <xf numFmtId="164" fontId="6" fillId="0" borderId="10" xfId="1" applyNumberFormat="1" applyFont="1" applyFill="1" applyBorder="1" applyAlignment="1">
      <alignment horizontal="right" vertical="center" wrapText="1"/>
    </xf>
    <xf numFmtId="164" fontId="6" fillId="3" borderId="10" xfId="1" applyNumberFormat="1" applyFont="1" applyFill="1" applyBorder="1" applyAlignment="1">
      <alignment horizontal="right" vertical="center" wrapText="1"/>
    </xf>
    <xf numFmtId="164" fontId="6" fillId="3" borderId="9" xfId="1" applyNumberFormat="1" applyFont="1" applyFill="1" applyBorder="1" applyAlignment="1">
      <alignment horizontal="right" vertical="center" wrapText="1"/>
    </xf>
    <xf numFmtId="3" fontId="6" fillId="3" borderId="10" xfId="0" applyNumberFormat="1" applyFont="1" applyFill="1" applyBorder="1" applyAlignment="1">
      <alignment horizontal="right" vertical="center" wrapText="1"/>
    </xf>
    <xf numFmtId="164" fontId="6" fillId="3" borderId="13" xfId="1" applyNumberFormat="1" applyFont="1" applyFill="1" applyBorder="1" applyAlignment="1">
      <alignment horizontal="right" vertical="center" wrapText="1"/>
    </xf>
    <xf numFmtId="164" fontId="6" fillId="3" borderId="9" xfId="1" applyNumberFormat="1" applyFont="1" applyFill="1" applyBorder="1" applyAlignment="1">
      <alignment horizontal="right" wrapText="1"/>
    </xf>
    <xf numFmtId="164" fontId="17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4" fontId="7" fillId="0" borderId="9" xfId="1" applyNumberFormat="1" applyFont="1" applyBorder="1" applyAlignment="1">
      <alignment horizontal="right"/>
    </xf>
    <xf numFmtId="0" fontId="6" fillId="0" borderId="24" xfId="0" applyFont="1" applyBorder="1" applyAlignment="1">
      <alignment horizontal="right" vertical="distributed"/>
    </xf>
    <xf numFmtId="164" fontId="6" fillId="0" borderId="9" xfId="1" applyNumberFormat="1" applyFont="1" applyBorder="1" applyAlignment="1">
      <alignment horizontal="right"/>
    </xf>
    <xf numFmtId="164" fontId="6" fillId="0" borderId="10" xfId="1" applyNumberFormat="1" applyFont="1" applyBorder="1" applyAlignment="1">
      <alignment horizontal="right"/>
    </xf>
    <xf numFmtId="43" fontId="24" fillId="0" borderId="0" xfId="1" applyFont="1" applyAlignment="1">
      <alignment horizontal="right"/>
    </xf>
    <xf numFmtId="43" fontId="6" fillId="0" borderId="10" xfId="1" applyFont="1" applyFill="1" applyBorder="1" applyAlignment="1">
      <alignment horizontal="right" vertical="center" wrapText="1"/>
    </xf>
    <xf numFmtId="164" fontId="6" fillId="0" borderId="13" xfId="1" applyNumberFormat="1" applyFont="1" applyFill="1" applyBorder="1" applyAlignment="1">
      <alignment horizontal="right" vertical="center" wrapText="1"/>
    </xf>
    <xf numFmtId="164" fontId="6" fillId="3" borderId="6" xfId="1" applyNumberFormat="1" applyFont="1" applyFill="1" applyBorder="1" applyAlignment="1">
      <alignment horizontal="right" vertical="center" wrapText="1"/>
    </xf>
    <xf numFmtId="164" fontId="20" fillId="0" borderId="0" xfId="1" applyNumberFormat="1" applyFont="1" applyAlignment="1">
      <alignment horizontal="right"/>
    </xf>
    <xf numFmtId="3" fontId="20" fillId="0" borderId="0" xfId="0" applyNumberFormat="1" applyFont="1" applyAlignment="1">
      <alignment horizontal="right"/>
    </xf>
    <xf numFmtId="0" fontId="22" fillId="0" borderId="10" xfId="0" applyFont="1" applyBorder="1" applyAlignment="1">
      <alignment horizontal="right"/>
    </xf>
    <xf numFmtId="0" fontId="7" fillId="0" borderId="12" xfId="0" applyFont="1" applyBorder="1" applyAlignment="1">
      <alignment horizontal="left"/>
    </xf>
    <xf numFmtId="164" fontId="6" fillId="3" borderId="12" xfId="1" applyNumberFormat="1" applyFont="1" applyFill="1" applyBorder="1" applyAlignment="1">
      <alignment horizontal="right" vertical="center" wrapText="1"/>
    </xf>
    <xf numFmtId="164" fontId="7" fillId="3" borderId="6" xfId="1" applyNumberFormat="1" applyFont="1" applyFill="1" applyBorder="1" applyAlignment="1">
      <alignment horizontal="right" vertical="center" wrapText="1"/>
    </xf>
    <xf numFmtId="164" fontId="7" fillId="3" borderId="6" xfId="1" applyNumberFormat="1" applyFont="1" applyFill="1" applyBorder="1" applyAlignment="1">
      <alignment vertical="center" wrapText="1"/>
    </xf>
    <xf numFmtId="3" fontId="0" fillId="3" borderId="0" xfId="0" applyNumberFormat="1" applyFill="1"/>
    <xf numFmtId="0" fontId="19" fillId="0" borderId="0" xfId="0" applyFont="1" applyAlignment="1">
      <alignment horizontal="left"/>
    </xf>
    <xf numFmtId="0" fontId="0" fillId="0" borderId="10" xfId="0" applyBorder="1"/>
    <xf numFmtId="164" fontId="13" fillId="3" borderId="0" xfId="1" applyNumberFormat="1" applyFont="1" applyFill="1"/>
    <xf numFmtId="164" fontId="31" fillId="0" borderId="0" xfId="1" applyNumberFormat="1" applyFont="1" applyAlignment="1">
      <alignment horizontal="center"/>
    </xf>
    <xf numFmtId="164" fontId="32" fillId="0" borderId="0" xfId="1" applyNumberFormat="1" applyFont="1"/>
    <xf numFmtId="164" fontId="7" fillId="0" borderId="24" xfId="1" applyNumberFormat="1" applyFont="1" applyBorder="1" applyAlignment="1">
      <alignment horizontal="center" vertical="center" wrapText="1"/>
    </xf>
    <xf numFmtId="164" fontId="7" fillId="0" borderId="9" xfId="1" applyNumberFormat="1" applyFont="1" applyBorder="1" applyAlignment="1">
      <alignment horizontal="right" wrapText="1"/>
    </xf>
    <xf numFmtId="164" fontId="7" fillId="3" borderId="24" xfId="1" applyNumberFormat="1" applyFont="1" applyFill="1" applyBorder="1" applyAlignment="1">
      <alignment vertical="center" wrapText="1"/>
    </xf>
    <xf numFmtId="164" fontId="7" fillId="0" borderId="24" xfId="1" applyNumberFormat="1" applyFont="1" applyBorder="1"/>
    <xf numFmtId="164" fontId="7" fillId="2" borderId="11" xfId="1" applyNumberFormat="1" applyFont="1" applyFill="1" applyBorder="1" applyAlignment="1">
      <alignment vertical="center" wrapText="1"/>
    </xf>
    <xf numFmtId="164" fontId="10" fillId="0" borderId="0" xfId="1" applyNumberFormat="1" applyFont="1"/>
    <xf numFmtId="164" fontId="28" fillId="0" borderId="0" xfId="1" applyNumberFormat="1" applyFont="1"/>
    <xf numFmtId="164" fontId="4" fillId="0" borderId="0" xfId="1" applyNumberFormat="1" applyFont="1"/>
    <xf numFmtId="164" fontId="33" fillId="0" borderId="10" xfId="1" applyNumberFormat="1" applyFont="1" applyBorder="1" applyAlignment="1">
      <alignment horizontal="left"/>
    </xf>
    <xf numFmtId="164" fontId="15" fillId="0" borderId="0" xfId="1" applyNumberFormat="1" applyFont="1"/>
    <xf numFmtId="164" fontId="7" fillId="0" borderId="13" xfId="1" applyNumberFormat="1" applyFont="1" applyBorder="1"/>
    <xf numFmtId="3" fontId="7" fillId="0" borderId="13" xfId="2" applyNumberFormat="1" applyFont="1" applyBorder="1"/>
    <xf numFmtId="164" fontId="7" fillId="0" borderId="13" xfId="1" quotePrefix="1" applyNumberFormat="1" applyFont="1" applyBorder="1" applyAlignment="1">
      <alignment horizontal="right"/>
    </xf>
    <xf numFmtId="164" fontId="7" fillId="3" borderId="7" xfId="1" applyNumberFormat="1" applyFont="1" applyFill="1" applyBorder="1" applyAlignment="1">
      <alignment horizontal="right" vertical="center" wrapText="1"/>
    </xf>
    <xf numFmtId="164" fontId="6" fillId="3" borderId="7" xfId="1" applyNumberFormat="1" applyFont="1" applyFill="1" applyBorder="1" applyAlignment="1">
      <alignment horizontal="right" vertical="center" wrapText="1"/>
    </xf>
    <xf numFmtId="3" fontId="6" fillId="2" borderId="25" xfId="0" applyNumberFormat="1" applyFont="1" applyFill="1" applyBorder="1" applyAlignment="1">
      <alignment vertical="center" wrapText="1"/>
    </xf>
    <xf numFmtId="164" fontId="19" fillId="0" borderId="10" xfId="0" applyNumberFormat="1" applyFont="1" applyBorder="1"/>
    <xf numFmtId="3" fontId="12" fillId="0" borderId="0" xfId="0" applyNumberFormat="1" applyFont="1" applyAlignment="1">
      <alignment horizontal="center"/>
    </xf>
    <xf numFmtId="164" fontId="7" fillId="0" borderId="13" xfId="1" applyNumberFormat="1" applyFont="1" applyBorder="1" applyAlignment="1">
      <alignment horizontal="right" wrapText="1"/>
    </xf>
    <xf numFmtId="3" fontId="19" fillId="0" borderId="0" xfId="0" applyNumberFormat="1" applyFont="1" applyAlignment="1">
      <alignment horizontal="left"/>
    </xf>
    <xf numFmtId="3" fontId="7" fillId="3" borderId="12" xfId="0" applyNumberFormat="1" applyFont="1" applyFill="1" applyBorder="1" applyAlignment="1">
      <alignment vertical="center" wrapText="1"/>
    </xf>
    <xf numFmtId="3" fontId="7" fillId="3" borderId="13" xfId="2" applyNumberFormat="1" applyFont="1" applyFill="1" applyBorder="1" applyAlignment="1">
      <alignment horizontal="center"/>
    </xf>
    <xf numFmtId="3" fontId="7" fillId="3" borderId="33" xfId="2" applyNumberFormat="1" applyFont="1" applyFill="1" applyBorder="1"/>
    <xf numFmtId="3" fontId="7" fillId="3" borderId="33" xfId="0" applyNumberFormat="1" applyFont="1" applyFill="1" applyBorder="1" applyAlignment="1">
      <alignment vertical="center" wrapText="1"/>
    </xf>
    <xf numFmtId="164" fontId="7" fillId="3" borderId="11" xfId="1" quotePrefix="1" applyNumberFormat="1" applyFont="1" applyFill="1" applyBorder="1" applyAlignment="1">
      <alignment horizontal="right"/>
    </xf>
    <xf numFmtId="164" fontId="7" fillId="3" borderId="10" xfId="1" quotePrefix="1" applyNumberFormat="1" applyFont="1" applyFill="1" applyBorder="1" applyAlignment="1">
      <alignment horizontal="right"/>
    </xf>
    <xf numFmtId="3" fontId="7" fillId="3" borderId="10" xfId="2" applyNumberFormat="1" applyFont="1" applyFill="1" applyBorder="1"/>
    <xf numFmtId="3" fontId="7" fillId="3" borderId="12" xfId="2" applyNumberFormat="1" applyFont="1" applyFill="1" applyBorder="1"/>
    <xf numFmtId="3" fontId="7" fillId="3" borderId="12" xfId="2" applyNumberFormat="1" applyFont="1" applyFill="1" applyBorder="1" applyAlignment="1">
      <alignment horizontal="center"/>
    </xf>
    <xf numFmtId="164" fontId="7" fillId="3" borderId="12" xfId="1" quotePrefix="1" applyNumberFormat="1" applyFont="1" applyFill="1" applyBorder="1" applyAlignment="1">
      <alignment horizontal="right"/>
    </xf>
    <xf numFmtId="164" fontId="10" fillId="3" borderId="0" xfId="0" applyNumberFormat="1" applyFont="1" applyFill="1"/>
    <xf numFmtId="164" fontId="10" fillId="0" borderId="0" xfId="0" applyNumberFormat="1" applyFont="1"/>
    <xf numFmtId="164" fontId="36" fillId="0" borderId="13" xfId="1" quotePrefix="1" applyNumberFormat="1" applyFont="1" applyBorder="1" applyAlignment="1">
      <alignment horizontal="right"/>
    </xf>
    <xf numFmtId="164" fontId="38" fillId="0" borderId="0" xfId="0" applyNumberFormat="1" applyFont="1"/>
    <xf numFmtId="0" fontId="38" fillId="0" borderId="0" xfId="0" applyFont="1"/>
    <xf numFmtId="3" fontId="7" fillId="3" borderId="14" xfId="2" applyNumberFormat="1" applyFont="1" applyFill="1" applyBorder="1" applyAlignment="1">
      <alignment horizontal="center"/>
    </xf>
    <xf numFmtId="3" fontId="6" fillId="3" borderId="9" xfId="2" applyNumberFormat="1" applyFont="1" applyFill="1" applyBorder="1"/>
    <xf numFmtId="164" fontId="7" fillId="3" borderId="9" xfId="1" applyNumberFormat="1" applyFont="1" applyFill="1" applyBorder="1"/>
    <xf numFmtId="0" fontId="34" fillId="0" borderId="21" xfId="0" applyFont="1" applyBorder="1" applyAlignment="1">
      <alignment horizontal="center"/>
    </xf>
    <xf numFmtId="0" fontId="34" fillId="3" borderId="10" xfId="0" applyFont="1" applyFill="1" applyBorder="1" applyAlignment="1">
      <alignment horizontal="left"/>
    </xf>
    <xf numFmtId="3" fontId="34" fillId="0" borderId="10" xfId="2" applyNumberFormat="1" applyFont="1" applyBorder="1" applyAlignment="1">
      <alignment horizontal="center"/>
    </xf>
    <xf numFmtId="164" fontId="34" fillId="0" borderId="10" xfId="1" quotePrefix="1" applyNumberFormat="1" applyFont="1" applyBorder="1" applyAlignment="1">
      <alignment horizontal="right"/>
    </xf>
    <xf numFmtId="3" fontId="34" fillId="0" borderId="13" xfId="0" applyNumberFormat="1" applyFont="1" applyBorder="1" applyAlignment="1">
      <alignment vertical="center" wrapText="1"/>
    </xf>
    <xf numFmtId="164" fontId="34" fillId="0" borderId="10" xfId="1" quotePrefix="1" applyNumberFormat="1" applyFont="1" applyBorder="1" applyAlignment="1">
      <alignment horizontal="center"/>
    </xf>
    <xf numFmtId="164" fontId="35" fillId="0" borderId="10" xfId="1" quotePrefix="1" applyNumberFormat="1" applyFont="1" applyBorder="1" applyAlignment="1">
      <alignment horizontal="right"/>
    </xf>
    <xf numFmtId="164" fontId="35" fillId="0" borderId="10" xfId="1" applyNumberFormat="1" applyFont="1" applyBorder="1" applyAlignment="1">
      <alignment horizontal="right" vertical="center" wrapText="1"/>
    </xf>
    <xf numFmtId="164" fontId="34" fillId="3" borderId="10" xfId="1" applyNumberFormat="1" applyFont="1" applyFill="1" applyBorder="1" applyAlignment="1">
      <alignment horizontal="right" vertical="center" wrapText="1"/>
    </xf>
    <xf numFmtId="164" fontId="34" fillId="3" borderId="10" xfId="1" applyNumberFormat="1" applyFont="1" applyFill="1" applyBorder="1" applyAlignment="1">
      <alignment vertical="center" wrapText="1"/>
    </xf>
    <xf numFmtId="164" fontId="35" fillId="3" borderId="10" xfId="1" applyNumberFormat="1" applyFont="1" applyFill="1" applyBorder="1" applyAlignment="1">
      <alignment horizontal="right" vertical="center" wrapText="1"/>
    </xf>
    <xf numFmtId="164" fontId="35" fillId="3" borderId="9" xfId="1" applyNumberFormat="1" applyFont="1" applyFill="1" applyBorder="1" applyAlignment="1"/>
    <xf numFmtId="3" fontId="34" fillId="0" borderId="10" xfId="2" applyNumberFormat="1" applyFont="1" applyBorder="1"/>
    <xf numFmtId="3" fontId="34" fillId="0" borderId="9" xfId="2" quotePrefix="1" applyNumberFormat="1" applyFont="1" applyBorder="1" applyAlignment="1">
      <alignment horizontal="right"/>
    </xf>
    <xf numFmtId="3" fontId="34" fillId="0" borderId="10" xfId="0" applyNumberFormat="1" applyFont="1" applyBorder="1" applyAlignment="1">
      <alignment vertical="center" wrapText="1"/>
    </xf>
    <xf numFmtId="164" fontId="34" fillId="3" borderId="9" xfId="1" applyNumberFormat="1" applyFont="1" applyFill="1" applyBorder="1" applyAlignment="1">
      <alignment horizontal="right" vertical="center" wrapText="1"/>
    </xf>
    <xf numFmtId="164" fontId="35" fillId="3" borderId="9" xfId="1" applyNumberFormat="1" applyFont="1" applyFill="1" applyBorder="1" applyAlignment="1">
      <alignment horizontal="right" vertical="center" wrapText="1"/>
    </xf>
    <xf numFmtId="0" fontId="34" fillId="0" borderId="10" xfId="0" applyFont="1" applyBorder="1" applyAlignment="1">
      <alignment horizontal="left"/>
    </xf>
    <xf numFmtId="3" fontId="34" fillId="3" borderId="10" xfId="0" applyNumberFormat="1" applyFont="1" applyFill="1" applyBorder="1" applyAlignment="1">
      <alignment vertical="center" wrapText="1"/>
    </xf>
    <xf numFmtId="3" fontId="34" fillId="0" borderId="12" xfId="2" applyNumberFormat="1" applyFont="1" applyBorder="1" applyAlignment="1">
      <alignment horizontal="center"/>
    </xf>
    <xf numFmtId="164" fontId="34" fillId="0" borderId="13" xfId="1" quotePrefix="1" applyNumberFormat="1" applyFont="1" applyBorder="1" applyAlignment="1">
      <alignment horizontal="right"/>
    </xf>
    <xf numFmtId="164" fontId="35" fillId="3" borderId="13" xfId="1" applyNumberFormat="1" applyFont="1" applyFill="1" applyBorder="1" applyAlignment="1">
      <alignment horizontal="right" vertical="center" wrapText="1"/>
    </xf>
    <xf numFmtId="164" fontId="34" fillId="3" borderId="12" xfId="1" applyNumberFormat="1" applyFont="1" applyFill="1" applyBorder="1" applyAlignment="1">
      <alignment horizontal="right" vertical="center" wrapText="1"/>
    </xf>
    <xf numFmtId="164" fontId="34" fillId="3" borderId="13" xfId="1" applyNumberFormat="1" applyFont="1" applyFill="1" applyBorder="1" applyAlignment="1">
      <alignment vertical="center" wrapText="1"/>
    </xf>
    <xf numFmtId="164" fontId="34" fillId="3" borderId="13" xfId="1" applyNumberFormat="1" applyFont="1" applyFill="1" applyBorder="1" applyAlignment="1">
      <alignment horizontal="right" vertical="center" wrapText="1"/>
    </xf>
    <xf numFmtId="3" fontId="34" fillId="0" borderId="10" xfId="2" quotePrefix="1" applyNumberFormat="1" applyFont="1" applyBorder="1" applyAlignment="1">
      <alignment horizontal="right"/>
    </xf>
    <xf numFmtId="3" fontId="34" fillId="0" borderId="12" xfId="0" applyNumberFormat="1" applyFont="1" applyBorder="1" applyAlignment="1">
      <alignment vertical="center" wrapText="1"/>
    </xf>
    <xf numFmtId="3" fontId="15" fillId="0" borderId="0" xfId="0" applyNumberFormat="1" applyFont="1"/>
    <xf numFmtId="3" fontId="15" fillId="3" borderId="0" xfId="0" applyNumberFormat="1" applyFont="1" applyFill="1"/>
    <xf numFmtId="0" fontId="20" fillId="0" borderId="0" xfId="0" applyFont="1" applyAlignment="1">
      <alignment horizontal="center"/>
    </xf>
    <xf numFmtId="3" fontId="6" fillId="0" borderId="24" xfId="0" applyNumberFormat="1" applyFont="1" applyBorder="1" applyAlignment="1">
      <alignment vertical="center" wrapText="1"/>
    </xf>
    <xf numFmtId="3" fontId="7" fillId="0" borderId="11" xfId="2" applyNumberFormat="1" applyFont="1" applyBorder="1"/>
    <xf numFmtId="3" fontId="6" fillId="0" borderId="24" xfId="2" applyNumberFormat="1" applyFont="1" applyBorder="1" applyAlignment="1">
      <alignment horizontal="right"/>
    </xf>
    <xf numFmtId="3" fontId="6" fillId="3" borderId="24" xfId="0" applyNumberFormat="1" applyFont="1" applyFill="1" applyBorder="1" applyAlignment="1">
      <alignment horizontal="right" vertical="center" wrapText="1"/>
    </xf>
    <xf numFmtId="0" fontId="16" fillId="0" borderId="0" xfId="0" applyFont="1"/>
    <xf numFmtId="164" fontId="17" fillId="3" borderId="0" xfId="1" applyNumberFormat="1" applyFont="1" applyFill="1"/>
    <xf numFmtId="43" fontId="7" fillId="0" borderId="10" xfId="1" applyFont="1" applyFill="1" applyBorder="1" applyAlignment="1">
      <alignment wrapText="1"/>
    </xf>
    <xf numFmtId="3" fontId="6" fillId="0" borderId="24" xfId="2" applyNumberFormat="1" applyFont="1" applyBorder="1" applyAlignment="1">
      <alignment horizontal="left" indent="1"/>
    </xf>
    <xf numFmtId="164" fontId="20" fillId="0" borderId="0" xfId="1" applyNumberFormat="1" applyFont="1" applyFill="1"/>
    <xf numFmtId="164" fontId="10" fillId="0" borderId="0" xfId="1" applyNumberFormat="1" applyFont="1" applyFill="1"/>
    <xf numFmtId="164" fontId="28" fillId="0" borderId="0" xfId="1" applyNumberFormat="1" applyFont="1" applyFill="1"/>
    <xf numFmtId="0" fontId="7" fillId="3" borderId="9" xfId="0" applyFont="1" applyFill="1" applyBorder="1" applyAlignment="1">
      <alignment horizontal="left"/>
    </xf>
    <xf numFmtId="3" fontId="6" fillId="3" borderId="13" xfId="0" applyNumberFormat="1" applyFont="1" applyFill="1" applyBorder="1" applyAlignment="1">
      <alignment vertical="center" wrapText="1"/>
    </xf>
    <xf numFmtId="3" fontId="6" fillId="0" borderId="10" xfId="0" applyNumberFormat="1" applyFont="1" applyBorder="1" applyAlignment="1">
      <alignment horizontal="left"/>
    </xf>
    <xf numFmtId="164" fontId="7" fillId="0" borderId="10" xfId="1" applyNumberFormat="1" applyFont="1" applyBorder="1" applyAlignment="1">
      <alignment horizontal="left"/>
    </xf>
    <xf numFmtId="0" fontId="6" fillId="0" borderId="10" xfId="0" applyFont="1" applyBorder="1" applyAlignment="1">
      <alignment horizontal="right"/>
    </xf>
    <xf numFmtId="164" fontId="19" fillId="0" borderId="10" xfId="1" applyNumberFormat="1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3" fontId="17" fillId="0" borderId="10" xfId="0" applyNumberFormat="1" applyFont="1" applyBorder="1"/>
    <xf numFmtId="0" fontId="20" fillId="0" borderId="0" xfId="0" applyFont="1"/>
    <xf numFmtId="43" fontId="6" fillId="0" borderId="11" xfId="1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left"/>
    </xf>
    <xf numFmtId="164" fontId="36" fillId="0" borderId="24" xfId="1" applyNumberFormat="1" applyFont="1" applyBorder="1"/>
    <xf numFmtId="164" fontId="7" fillId="3" borderId="9" xfId="1" quotePrefix="1" applyNumberFormat="1" applyFont="1" applyFill="1" applyBorder="1" applyAlignment="1">
      <alignment horizontal="right"/>
    </xf>
    <xf numFmtId="164" fontId="7" fillId="3" borderId="10" xfId="1" applyNumberFormat="1" applyFont="1" applyFill="1" applyBorder="1"/>
    <xf numFmtId="3" fontId="7" fillId="3" borderId="11" xfId="2" applyNumberFormat="1" applyFont="1" applyFill="1" applyBorder="1" applyAlignment="1">
      <alignment horizontal="center"/>
    </xf>
    <xf numFmtId="164" fontId="7" fillId="3" borderId="13" xfId="1" quotePrefix="1" applyNumberFormat="1" applyFont="1" applyFill="1" applyBorder="1" applyAlignment="1">
      <alignment horizontal="right"/>
    </xf>
    <xf numFmtId="3" fontId="7" fillId="3" borderId="9" xfId="0" applyNumberFormat="1" applyFont="1" applyFill="1" applyBorder="1" applyAlignment="1">
      <alignment vertical="center" wrapText="1"/>
    </xf>
    <xf numFmtId="3" fontId="34" fillId="3" borderId="10" xfId="2" applyNumberFormat="1" applyFont="1" applyFill="1" applyBorder="1" applyAlignment="1">
      <alignment horizontal="center"/>
    </xf>
    <xf numFmtId="0" fontId="7" fillId="3" borderId="26" xfId="0" applyFont="1" applyFill="1" applyBorder="1" applyAlignment="1">
      <alignment horizontal="center"/>
    </xf>
    <xf numFmtId="3" fontId="7" fillId="3" borderId="7" xfId="0" applyNumberFormat="1" applyFont="1" applyFill="1" applyBorder="1" applyAlignment="1">
      <alignment vertical="center" wrapText="1"/>
    </xf>
    <xf numFmtId="0" fontId="7" fillId="3" borderId="35" xfId="0" applyFont="1" applyFill="1" applyBorder="1" applyAlignment="1">
      <alignment horizontal="center"/>
    </xf>
    <xf numFmtId="3" fontId="6" fillId="3" borderId="9" xfId="0" applyNumberFormat="1" applyFont="1" applyFill="1" applyBorder="1" applyAlignment="1">
      <alignment horizontal="right" vertical="center" wrapText="1"/>
    </xf>
    <xf numFmtId="0" fontId="7" fillId="3" borderId="24" xfId="0" applyFont="1" applyFill="1" applyBorder="1" applyAlignment="1">
      <alignment horizontal="left" vertical="center" wrapText="1"/>
    </xf>
    <xf numFmtId="3" fontId="7" fillId="0" borderId="24" xfId="0" applyNumberFormat="1" applyFont="1" applyBorder="1" applyAlignment="1">
      <alignment vertical="center" wrapText="1"/>
    </xf>
    <xf numFmtId="3" fontId="6" fillId="3" borderId="10" xfId="2" applyNumberFormat="1" applyFont="1" applyFill="1" applyBorder="1"/>
    <xf numFmtId="164" fontId="7" fillId="0" borderId="10" xfId="1" quotePrefix="1" applyNumberFormat="1" applyFont="1" applyFill="1" applyBorder="1" applyAlignment="1">
      <alignment horizontal="right"/>
    </xf>
    <xf numFmtId="164" fontId="6" fillId="0" borderId="9" xfId="1" applyNumberFormat="1" applyFont="1" applyFill="1" applyBorder="1" applyAlignment="1">
      <alignment horizontal="right" vertical="center" wrapText="1"/>
    </xf>
    <xf numFmtId="164" fontId="34" fillId="3" borderId="10" xfId="1" quotePrefix="1" applyNumberFormat="1" applyFont="1" applyFill="1" applyBorder="1" applyAlignment="1">
      <alignment horizontal="right"/>
    </xf>
    <xf numFmtId="3" fontId="3" fillId="0" borderId="0" xfId="0" applyNumberFormat="1" applyFont="1"/>
    <xf numFmtId="164" fontId="34" fillId="0" borderId="9" xfId="1" quotePrefix="1" applyNumberFormat="1" applyFont="1" applyBorder="1" applyAlignment="1">
      <alignment horizontal="right"/>
    </xf>
    <xf numFmtId="3" fontId="6" fillId="3" borderId="10" xfId="2" quotePrefix="1" applyNumberFormat="1" applyFont="1" applyFill="1" applyBorder="1" applyAlignment="1">
      <alignment horizontal="right"/>
    </xf>
    <xf numFmtId="3" fontId="9" fillId="0" borderId="0" xfId="0" applyNumberFormat="1" applyFont="1" applyAlignment="1">
      <alignment horizontal="center"/>
    </xf>
    <xf numFmtId="0" fontId="39" fillId="0" borderId="0" xfId="0" applyFont="1" applyAlignment="1">
      <alignment horizontal="left"/>
    </xf>
    <xf numFmtId="3" fontId="39" fillId="0" borderId="0" xfId="0" applyNumberFormat="1" applyFont="1"/>
    <xf numFmtId="164" fontId="39" fillId="0" borderId="0" xfId="1" applyNumberFormat="1" applyFont="1" applyAlignment="1">
      <alignment horizontal="left"/>
    </xf>
    <xf numFmtId="164" fontId="39" fillId="0" borderId="0" xfId="1" applyNumberFormat="1" applyFont="1"/>
    <xf numFmtId="164" fontId="39" fillId="0" borderId="0" xfId="0" applyNumberFormat="1" applyFont="1"/>
    <xf numFmtId="0" fontId="39" fillId="0" borderId="0" xfId="0" applyFont="1"/>
    <xf numFmtId="164" fontId="37" fillId="0" borderId="9" xfId="1" applyNumberFormat="1" applyFont="1" applyBorder="1" applyAlignment="1"/>
    <xf numFmtId="164" fontId="35" fillId="0" borderId="12" xfId="1" applyNumberFormat="1" applyFont="1" applyBorder="1" applyAlignment="1">
      <alignment horizontal="right" vertical="center" wrapText="1"/>
    </xf>
    <xf numFmtId="164" fontId="35" fillId="0" borderId="9" xfId="1" applyNumberFormat="1" applyFont="1" applyBorder="1" applyAlignment="1">
      <alignment horizontal="right" vertical="center" wrapText="1"/>
    </xf>
    <xf numFmtId="3" fontId="34" fillId="3" borderId="28" xfId="0" applyNumberFormat="1" applyFont="1" applyFill="1" applyBorder="1" applyAlignment="1">
      <alignment horizontal="left"/>
    </xf>
    <xf numFmtId="164" fontId="16" fillId="0" borderId="0" xfId="0" applyNumberFormat="1" applyFont="1"/>
    <xf numFmtId="0" fontId="6" fillId="0" borderId="4" xfId="0" applyFont="1" applyBorder="1" applyAlignment="1">
      <alignment horizontal="center" vertical="distributed"/>
    </xf>
    <xf numFmtId="3" fontId="6" fillId="3" borderId="37" xfId="0" applyNumberFormat="1" applyFont="1" applyFill="1" applyBorder="1" applyAlignment="1">
      <alignment vertical="center" wrapText="1"/>
    </xf>
    <xf numFmtId="3" fontId="34" fillId="3" borderId="10" xfId="2" applyNumberFormat="1" applyFont="1" applyFill="1" applyBorder="1"/>
    <xf numFmtId="164" fontId="35" fillId="3" borderId="10" xfId="1" quotePrefix="1" applyNumberFormat="1" applyFont="1" applyFill="1" applyBorder="1" applyAlignment="1">
      <alignment horizontal="right"/>
    </xf>
    <xf numFmtId="164" fontId="0" fillId="3" borderId="0" xfId="0" applyNumberFormat="1" applyFill="1"/>
    <xf numFmtId="0" fontId="18" fillId="0" borderId="36" xfId="0" applyFont="1" applyBorder="1" applyAlignment="1">
      <alignment horizontal="center" vertical="distributed"/>
    </xf>
    <xf numFmtId="0" fontId="18" fillId="0" borderId="7" xfId="0" applyFont="1" applyBorder="1" applyAlignment="1">
      <alignment horizontal="center" vertical="distributed"/>
    </xf>
    <xf numFmtId="43" fontId="18" fillId="0" borderId="7" xfId="1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distributed" wrapText="1"/>
    </xf>
    <xf numFmtId="164" fontId="7" fillId="0" borderId="13" xfId="1" quotePrefix="1" applyNumberFormat="1" applyFont="1" applyFill="1" applyBorder="1" applyAlignment="1">
      <alignment horizontal="right"/>
    </xf>
    <xf numFmtId="164" fontId="18" fillId="0" borderId="7" xfId="1" applyNumberFormat="1" applyFont="1" applyBorder="1" applyAlignment="1">
      <alignment horizontal="center" vertical="center" wrapText="1"/>
    </xf>
    <xf numFmtId="0" fontId="41" fillId="0" borderId="0" xfId="0" applyFont="1"/>
    <xf numFmtId="0" fontId="30" fillId="0" borderId="0" xfId="0" applyFont="1"/>
    <xf numFmtId="164" fontId="18" fillId="0" borderId="11" xfId="1" applyNumberFormat="1" applyFont="1" applyBorder="1" applyAlignment="1">
      <alignment horizontal="center" vertical="center" wrapText="1"/>
    </xf>
    <xf numFmtId="164" fontId="18" fillId="0" borderId="24" xfId="1" applyNumberFormat="1" applyFont="1" applyBorder="1" applyAlignment="1">
      <alignment horizontal="center" vertical="center" wrapText="1"/>
    </xf>
    <xf numFmtId="164" fontId="18" fillId="0" borderId="38" xfId="1" applyNumberFormat="1" applyFont="1" applyBorder="1" applyAlignment="1">
      <alignment horizontal="center" vertical="center" wrapText="1"/>
    </xf>
    <xf numFmtId="164" fontId="37" fillId="0" borderId="10" xfId="1" quotePrefix="1" applyNumberFormat="1" applyFont="1" applyBorder="1" applyAlignment="1">
      <alignment horizontal="right"/>
    </xf>
    <xf numFmtId="3" fontId="37" fillId="3" borderId="10" xfId="2" quotePrefix="1" applyNumberFormat="1" applyFont="1" applyFill="1" applyBorder="1" applyAlignment="1">
      <alignment horizontal="right"/>
    </xf>
    <xf numFmtId="164" fontId="37" fillId="3" borderId="10" xfId="1" quotePrefix="1" applyNumberFormat="1" applyFont="1" applyFill="1" applyBorder="1" applyAlignment="1">
      <alignment horizontal="right"/>
    </xf>
    <xf numFmtId="0" fontId="7" fillId="3" borderId="7" xfId="0" applyFont="1" applyFill="1" applyBorder="1" applyAlignment="1">
      <alignment horizontal="left"/>
    </xf>
    <xf numFmtId="3" fontId="7" fillId="0" borderId="7" xfId="2" applyNumberFormat="1" applyFont="1" applyBorder="1" applyAlignment="1">
      <alignment horizontal="center"/>
    </xf>
    <xf numFmtId="164" fontId="34" fillId="3" borderId="6" xfId="1" applyNumberFormat="1" applyFont="1" applyFill="1" applyBorder="1" applyAlignment="1">
      <alignment horizontal="right" vertical="center" wrapText="1"/>
    </xf>
    <xf numFmtId="164" fontId="34" fillId="3" borderId="6" xfId="1" applyNumberFormat="1" applyFont="1" applyFill="1" applyBorder="1" applyAlignment="1">
      <alignment vertical="center" wrapText="1"/>
    </xf>
    <xf numFmtId="3" fontId="7" fillId="0" borderId="7" xfId="2" applyNumberFormat="1" applyFont="1" applyBorder="1"/>
    <xf numFmtId="3" fontId="7" fillId="0" borderId="7" xfId="0" applyNumberFormat="1" applyFont="1" applyBorder="1" applyAlignment="1">
      <alignment vertical="center" wrapText="1"/>
    </xf>
    <xf numFmtId="164" fontId="7" fillId="0" borderId="7" xfId="1" quotePrefix="1" applyNumberFormat="1" applyFont="1" applyBorder="1" applyAlignment="1">
      <alignment horizontal="right"/>
    </xf>
    <xf numFmtId="164" fontId="7" fillId="3" borderId="13" xfId="1" applyNumberFormat="1" applyFont="1" applyFill="1" applyBorder="1"/>
    <xf numFmtId="3" fontId="9" fillId="0" borderId="0" xfId="0" applyNumberFormat="1" applyFont="1" applyAlignment="1">
      <alignment horizontal="right"/>
    </xf>
    <xf numFmtId="3" fontId="40" fillId="3" borderId="24" xfId="0" applyNumberFormat="1" applyFont="1" applyFill="1" applyBorder="1" applyAlignment="1">
      <alignment horizontal="right" vertical="center" wrapText="1"/>
    </xf>
    <xf numFmtId="3" fontId="37" fillId="3" borderId="9" xfId="2" applyNumberFormat="1" applyFont="1" applyFill="1" applyBorder="1" applyAlignment="1">
      <alignment horizontal="right"/>
    </xf>
    <xf numFmtId="3" fontId="6" fillId="0" borderId="10" xfId="2" applyNumberFormat="1" applyFont="1" applyBorder="1" applyAlignment="1">
      <alignment horizontal="right"/>
    </xf>
    <xf numFmtId="3" fontId="6" fillId="0" borderId="9" xfId="2" applyNumberFormat="1" applyFont="1" applyBorder="1" applyAlignment="1">
      <alignment horizontal="right"/>
    </xf>
    <xf numFmtId="3" fontId="6" fillId="3" borderId="10" xfId="2" applyNumberFormat="1" applyFont="1" applyFill="1" applyBorder="1" applyAlignment="1">
      <alignment horizontal="right"/>
    </xf>
    <xf numFmtId="3" fontId="6" fillId="2" borderId="16" xfId="0" applyNumberFormat="1" applyFont="1" applyFill="1" applyBorder="1" applyAlignment="1">
      <alignment horizontal="right" vertical="center" wrapText="1"/>
    </xf>
    <xf numFmtId="3" fontId="27" fillId="0" borderId="0" xfId="0" applyNumberFormat="1" applyFont="1" applyAlignment="1">
      <alignment horizontal="right"/>
    </xf>
    <xf numFmtId="164" fontId="20" fillId="0" borderId="0" xfId="1" applyNumberFormat="1" applyFont="1" applyFill="1" applyAlignment="1">
      <alignment horizontal="right"/>
    </xf>
    <xf numFmtId="3" fontId="13" fillId="3" borderId="0" xfId="0" applyNumberFormat="1" applyFont="1" applyFill="1" applyAlignment="1">
      <alignment horizontal="right"/>
    </xf>
    <xf numFmtId="43" fontId="21" fillId="0" borderId="0" xfId="1" applyFont="1" applyAlignment="1">
      <alignment horizontal="right"/>
    </xf>
    <xf numFmtId="3" fontId="6" fillId="0" borderId="10" xfId="0" applyNumberFormat="1" applyFont="1" applyBorder="1" applyAlignment="1">
      <alignment horizontal="right"/>
    </xf>
    <xf numFmtId="0" fontId="20" fillId="0" borderId="0" xfId="0" applyFont="1" applyAlignment="1">
      <alignment horizontal="right"/>
    </xf>
    <xf numFmtId="3" fontId="23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right"/>
    </xf>
    <xf numFmtId="164" fontId="37" fillId="0" borderId="22" xfId="1" applyNumberFormat="1" applyFont="1" applyBorder="1" applyAlignment="1"/>
    <xf numFmtId="3" fontId="7" fillId="3" borderId="9" xfId="2" applyNumberFormat="1" applyFont="1" applyFill="1" applyBorder="1"/>
    <xf numFmtId="3" fontId="7" fillId="3" borderId="11" xfId="2" applyNumberFormat="1" applyFont="1" applyFill="1" applyBorder="1"/>
    <xf numFmtId="3" fontId="6" fillId="3" borderId="11" xfId="2" quotePrefix="1" applyNumberFormat="1" applyFont="1" applyFill="1" applyBorder="1" applyAlignment="1">
      <alignment horizontal="right"/>
    </xf>
    <xf numFmtId="3" fontId="36" fillId="3" borderId="10" xfId="0" applyNumberFormat="1" applyFont="1" applyFill="1" applyBorder="1" applyAlignment="1">
      <alignment vertical="center" wrapText="1"/>
    </xf>
    <xf numFmtId="164" fontId="24" fillId="0" borderId="0" xfId="1" applyNumberFormat="1" applyFont="1"/>
    <xf numFmtId="164" fontId="3" fillId="0" borderId="0" xfId="1" applyNumberFormat="1" applyFont="1"/>
    <xf numFmtId="164" fontId="42" fillId="0" borderId="0" xfId="1" applyNumberFormat="1" applyFont="1"/>
    <xf numFmtId="164" fontId="43" fillId="0" borderId="0" xfId="1" applyNumberFormat="1" applyFont="1" applyAlignment="1">
      <alignment horizontal="center"/>
    </xf>
    <xf numFmtId="164" fontId="21" fillId="0" borderId="0" xfId="1" applyNumberFormat="1" applyFont="1"/>
    <xf numFmtId="164" fontId="23" fillId="0" borderId="0" xfId="1" applyNumberFormat="1" applyFont="1"/>
    <xf numFmtId="3" fontId="40" fillId="3" borderId="13" xfId="2" quotePrefix="1" applyNumberFormat="1" applyFont="1" applyFill="1" applyBorder="1" applyAlignment="1">
      <alignment horizontal="right"/>
    </xf>
    <xf numFmtId="3" fontId="40" fillId="3" borderId="12" xfId="2" quotePrefix="1" applyNumberFormat="1" applyFont="1" applyFill="1" applyBorder="1" applyAlignment="1">
      <alignment horizontal="right"/>
    </xf>
    <xf numFmtId="3" fontId="40" fillId="3" borderId="10" xfId="2" quotePrefix="1" applyNumberFormat="1" applyFont="1" applyFill="1" applyBorder="1" applyAlignment="1">
      <alignment horizontal="right"/>
    </xf>
    <xf numFmtId="3" fontId="40" fillId="0" borderId="10" xfId="2" quotePrefix="1" applyNumberFormat="1" applyFont="1" applyBorder="1" applyAlignment="1">
      <alignment horizontal="right"/>
    </xf>
    <xf numFmtId="164" fontId="40" fillId="0" borderId="10" xfId="1" quotePrefix="1" applyNumberFormat="1" applyFont="1" applyBorder="1" applyAlignment="1">
      <alignment horizontal="right"/>
    </xf>
    <xf numFmtId="3" fontId="40" fillId="0" borderId="9" xfId="2" quotePrefix="1" applyNumberFormat="1" applyFont="1" applyBorder="1" applyAlignment="1">
      <alignment horizontal="right"/>
    </xf>
    <xf numFmtId="3" fontId="40" fillId="0" borderId="13" xfId="2" quotePrefix="1" applyNumberFormat="1" applyFont="1" applyBorder="1" applyAlignment="1">
      <alignment horizontal="right"/>
    </xf>
    <xf numFmtId="3" fontId="40" fillId="3" borderId="9" xfId="2" applyNumberFormat="1" applyFont="1" applyFill="1" applyBorder="1" applyAlignment="1">
      <alignment horizontal="right"/>
    </xf>
    <xf numFmtId="3" fontId="40" fillId="0" borderId="9" xfId="2" applyNumberFormat="1" applyFont="1" applyBorder="1" applyAlignment="1">
      <alignment horizontal="right"/>
    </xf>
    <xf numFmtId="164" fontId="40" fillId="0" borderId="10" xfId="1" quotePrefix="1" applyNumberFormat="1" applyFont="1" applyBorder="1" applyAlignment="1"/>
    <xf numFmtId="164" fontId="40" fillId="0" borderId="10" xfId="1" quotePrefix="1" applyNumberFormat="1" applyFont="1" applyBorder="1" applyAlignment="1">
      <alignment horizontal="center"/>
    </xf>
    <xf numFmtId="164" fontId="40" fillId="3" borderId="10" xfId="1" quotePrefix="1" applyNumberFormat="1" applyFont="1" applyFill="1" applyBorder="1" applyAlignment="1">
      <alignment horizontal="center"/>
    </xf>
    <xf numFmtId="164" fontId="40" fillId="0" borderId="10" xfId="1" quotePrefix="1" applyNumberFormat="1" applyFont="1" applyBorder="1" applyAlignment="1">
      <alignment horizontal="left"/>
    </xf>
    <xf numFmtId="164" fontId="35" fillId="0" borderId="10" xfId="1" quotePrefix="1" applyNumberFormat="1" applyFont="1" applyBorder="1" applyAlignment="1">
      <alignment horizontal="center"/>
    </xf>
    <xf numFmtId="3" fontId="37" fillId="3" borderId="10" xfId="2" applyNumberFormat="1" applyFont="1" applyFill="1" applyBorder="1" applyAlignment="1">
      <alignment horizontal="right"/>
    </xf>
    <xf numFmtId="164" fontId="18" fillId="0" borderId="31" xfId="1" applyNumberFormat="1" applyFont="1" applyBorder="1" applyAlignment="1">
      <alignment horizontal="center" vertical="center"/>
    </xf>
    <xf numFmtId="164" fontId="6" fillId="0" borderId="25" xfId="1" applyNumberFormat="1" applyFont="1" applyBorder="1" applyAlignment="1">
      <alignment vertical="center"/>
    </xf>
    <xf numFmtId="164" fontId="6" fillId="2" borderId="25" xfId="1" applyNumberFormat="1" applyFont="1" applyFill="1" applyBorder="1" applyAlignment="1">
      <alignment vertical="center" wrapText="1"/>
    </xf>
    <xf numFmtId="164" fontId="6" fillId="3" borderId="25" xfId="1" applyNumberFormat="1" applyFont="1" applyFill="1" applyBorder="1" applyAlignment="1"/>
    <xf numFmtId="164" fontId="6" fillId="3" borderId="25" xfId="1" applyNumberFormat="1" applyFont="1" applyFill="1" applyBorder="1" applyAlignment="1">
      <alignment vertical="center" wrapText="1"/>
    </xf>
    <xf numFmtId="164" fontId="6" fillId="2" borderId="27" xfId="1" applyNumberFormat="1" applyFont="1" applyFill="1" applyBorder="1" applyAlignment="1">
      <alignment vertical="center" wrapText="1"/>
    </xf>
    <xf numFmtId="164" fontId="6" fillId="2" borderId="17" xfId="1" applyNumberFormat="1" applyFont="1" applyFill="1" applyBorder="1" applyAlignment="1">
      <alignment vertical="center" wrapText="1"/>
    </xf>
    <xf numFmtId="3" fontId="44" fillId="0" borderId="33" xfId="0" applyNumberFormat="1" applyFont="1" applyBorder="1" applyAlignment="1">
      <alignment vertical="center" wrapText="1"/>
    </xf>
    <xf numFmtId="3" fontId="44" fillId="0" borderId="12" xfId="0" applyNumberFormat="1" applyFont="1" applyBorder="1" applyAlignment="1">
      <alignment vertical="center" wrapText="1"/>
    </xf>
    <xf numFmtId="3" fontId="44" fillId="0" borderId="10" xfId="0" applyNumberFormat="1" applyFont="1" applyBorder="1" applyAlignment="1">
      <alignment vertical="center" wrapText="1"/>
    </xf>
    <xf numFmtId="3" fontId="44" fillId="0" borderId="9" xfId="0" applyNumberFormat="1" applyFont="1" applyBorder="1" applyAlignment="1">
      <alignment vertical="center" wrapText="1"/>
    </xf>
    <xf numFmtId="43" fontId="39" fillId="0" borderId="0" xfId="1" applyFont="1" applyAlignment="1">
      <alignment horizontal="center" vertical="center" wrapText="1"/>
    </xf>
    <xf numFmtId="43" fontId="39" fillId="0" borderId="0" xfId="1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distributed"/>
    </xf>
    <xf numFmtId="0" fontId="6" fillId="0" borderId="5" xfId="0" applyFont="1" applyBorder="1" applyAlignment="1">
      <alignment horizontal="center" vertical="distributed"/>
    </xf>
    <xf numFmtId="0" fontId="6" fillId="0" borderId="2" xfId="0" applyFont="1" applyBorder="1" applyAlignment="1">
      <alignment horizontal="center" vertical="distributed"/>
    </xf>
    <xf numFmtId="0" fontId="6" fillId="0" borderId="6" xfId="0" applyFont="1" applyBorder="1" applyAlignment="1">
      <alignment horizontal="center" vertical="distributed"/>
    </xf>
    <xf numFmtId="0" fontId="6" fillId="0" borderId="4" xfId="0" applyFont="1" applyBorder="1" applyAlignment="1">
      <alignment horizontal="center" vertical="distributed"/>
    </xf>
    <xf numFmtId="0" fontId="6" fillId="0" borderId="7" xfId="0" applyFont="1" applyBorder="1" applyAlignment="1">
      <alignment horizontal="center" vertical="distributed"/>
    </xf>
    <xf numFmtId="43" fontId="6" fillId="0" borderId="4" xfId="1" applyFont="1" applyBorder="1" applyAlignment="1">
      <alignment horizontal="center" vertical="center" wrapText="1"/>
    </xf>
    <xf numFmtId="43" fontId="6" fillId="0" borderId="7" xfId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justify"/>
    </xf>
    <xf numFmtId="0" fontId="0" fillId="0" borderId="32" xfId="0" applyBorder="1" applyAlignment="1">
      <alignment horizontal="center"/>
    </xf>
    <xf numFmtId="43" fontId="6" fillId="0" borderId="29" xfId="1" applyFont="1" applyBorder="1" applyAlignment="1">
      <alignment horizontal="center" vertical="center" wrapText="1"/>
    </xf>
    <xf numFmtId="43" fontId="6" fillId="0" borderId="18" xfId="1" applyFont="1" applyBorder="1" applyAlignment="1">
      <alignment horizontal="center" vertical="center" wrapText="1"/>
    </xf>
    <xf numFmtId="43" fontId="6" fillId="0" borderId="19" xfId="1" applyFont="1" applyBorder="1" applyAlignment="1">
      <alignment horizontal="center" vertical="center" wrapText="1"/>
    </xf>
    <xf numFmtId="43" fontId="6" fillId="0" borderId="20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distributed"/>
    </xf>
    <xf numFmtId="164" fontId="6" fillId="0" borderId="4" xfId="1" applyNumberFormat="1" applyFont="1" applyBorder="1" applyAlignment="1">
      <alignment horizontal="center" vertical="center" wrapText="1"/>
    </xf>
    <xf numFmtId="43" fontId="6" fillId="0" borderId="38" xfId="1" applyFont="1" applyBorder="1" applyAlignment="1">
      <alignment horizontal="center" vertical="center" wrapText="1"/>
    </xf>
    <xf numFmtId="164" fontId="6" fillId="0" borderId="7" xfId="1" applyNumberFormat="1" applyFont="1" applyBorder="1" applyAlignment="1">
      <alignment horizontal="center" vertical="center" wrapText="1"/>
    </xf>
    <xf numFmtId="164" fontId="6" fillId="0" borderId="30" xfId="1" applyNumberFormat="1" applyFont="1" applyBorder="1" applyAlignment="1">
      <alignment horizontal="center" vertical="center" wrapText="1"/>
    </xf>
    <xf numFmtId="164" fontId="6" fillId="0" borderId="31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u%20lieu%20o%20F\Cong%20ty%20Vu%20Gia%20Tam\BHXH\b&#7843;ng%20t&#237;nh%20ph&#237;%20BHXH.xlsx" TargetMode="External"/><Relationship Id="rId1" Type="http://schemas.openxmlformats.org/officeDocument/2006/relationships/externalLinkPath" Target="/du%20lieu%20o%20F/Cong%20ty%20Vu%20Gia%20Tam/BHXH/b&#7843;ng%20t&#237;nh%20ph&#237;%20BHX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u%20lieu%20o%20F\Cong%20ty%20Vu%20Gia%20Tam\Ch&#7913;ng%20t&#7915;%20n&#259;m%202026\L&#432;&#417;ng%202026\Danh%20s&#225;ch%20chi%20l&#432;&#417;ng%20t&#224;u%20V&#361;%20Gia%2015.xls" TargetMode="External"/><Relationship Id="rId1" Type="http://schemas.openxmlformats.org/officeDocument/2006/relationships/externalLinkPath" Target="/du%20lieu%20o%20F/Cong%20ty%20Vu%20Gia%20Tam/Ch&#7913;ng%20t&#7915;%20n&#259;m%202026/L&#432;&#417;ng%202026/Danh%20s&#225;ch%20chi%20l&#432;&#417;ng%20t&#224;u%20V&#361;%20Gia%201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u%20lieu%20o%20F\Cong%20ty%20Vu%20Gia%20Tam\Ch&#7913;ng%20t&#7915;%20n&#259;m%202026\L&#432;&#417;ng%202026\Danh%20s&#225;ch%20chi%20l&#432;&#417;ng%20t&#224;u%20V&#361;%20Gia%2005.xls" TargetMode="External"/><Relationship Id="rId1" Type="http://schemas.openxmlformats.org/officeDocument/2006/relationships/externalLinkPath" Target="/du%20lieu%20o%20F/Cong%20ty%20Vu%20Gia%20Tam/Ch&#7913;ng%20t&#7915;%20n&#259;m%202026/L&#432;&#417;ng%202026/Danh%20s&#225;ch%20chi%20l&#432;&#417;ng%20t&#224;u%20V&#361;%20Gia%2005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u%20lieu%20o%20F\Cong%20ty%20Vu%20Gia%20Tam\N&#7897;i%20b&#7897;\B&#7843;ng%20l&#432;&#417;ng\Luong%202026%20-%20T4.xlsx" TargetMode="External"/><Relationship Id="rId1" Type="http://schemas.openxmlformats.org/officeDocument/2006/relationships/externalLinkPath" Target="/du%20lieu%20o%20F/Cong%20ty%20Vu%20Gia%20Tam/N&#7897;i%20b&#7897;/B&#7843;ng%20l&#432;&#417;ng/Luong%202026%20-%20T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2">
          <cell r="M62">
            <v>65184000</v>
          </cell>
        </row>
      </sheetData>
      <sheetData sheetId="11">
        <row r="69">
          <cell r="L69">
            <v>106065000</v>
          </cell>
          <cell r="N69">
            <v>113760000</v>
          </cell>
        </row>
      </sheetData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nh sach"/>
      <sheetName val="Danh sach NH trong nuoc"/>
      <sheetName val="Info"/>
    </sheetNames>
    <sheetDataSet>
      <sheetData sheetId="0" refreshError="1">
        <row r="17">
          <cell r="I17">
            <v>204321333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nh sach"/>
      <sheetName val="Danh sach NH trong nuoc"/>
      <sheetName val="Info"/>
    </sheetNames>
    <sheetDataSet>
      <sheetData sheetId="0" refreshError="1">
        <row r="16">
          <cell r="I16">
            <v>200527834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L"/>
      <sheetName val="36"/>
      <sheetName val="05"/>
      <sheetName val="15"/>
      <sheetName val="09"/>
      <sheetName val="18"/>
      <sheetName val="QT"/>
      <sheetName val="TH"/>
      <sheetName val="Thuyền viên"/>
      <sheetName val="Ứng lương"/>
      <sheetName val="Test lại"/>
      <sheetName val="Sheet1"/>
      <sheetName val="VG36"/>
      <sheetName val="VG15"/>
      <sheetName val="VG09"/>
      <sheetName val="VG05"/>
      <sheetName val="VG18"/>
    </sheetNames>
    <sheetDataSet>
      <sheetData sheetId="0" refreshError="1"/>
      <sheetData sheetId="1">
        <row r="18">
          <cell r="F18">
            <v>5890500</v>
          </cell>
        </row>
      </sheetData>
      <sheetData sheetId="2">
        <row r="18">
          <cell r="F18">
            <v>4630500</v>
          </cell>
        </row>
      </sheetData>
      <sheetData sheetId="3">
        <row r="8">
          <cell r="F8">
            <v>1102500</v>
          </cell>
        </row>
        <row r="9">
          <cell r="F9">
            <v>798000</v>
          </cell>
        </row>
        <row r="10">
          <cell r="F10">
            <v>525000</v>
          </cell>
        </row>
        <row r="11">
          <cell r="F11">
            <v>525000</v>
          </cell>
        </row>
        <row r="14">
          <cell r="F14">
            <v>798000</v>
          </cell>
        </row>
        <row r="15">
          <cell r="F15">
            <v>630000</v>
          </cell>
        </row>
        <row r="23">
          <cell r="F23">
            <v>5086250</v>
          </cell>
        </row>
      </sheetData>
      <sheetData sheetId="4">
        <row r="18">
          <cell r="F18">
            <v>6268500</v>
          </cell>
        </row>
      </sheetData>
      <sheetData sheetId="5">
        <row r="19">
          <cell r="F19">
            <v>7906500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3"/>
  <sheetViews>
    <sheetView tabSelected="1"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4" sqref="J14"/>
    </sheetView>
  </sheetViews>
  <sheetFormatPr defaultRowHeight="15" x14ac:dyDescent="0.25"/>
  <cols>
    <col min="1" max="1" width="6.42578125" customWidth="1"/>
    <col min="2" max="2" width="23.5703125" style="28" customWidth="1"/>
    <col min="3" max="3" width="15.85546875" style="2" bestFit="1" customWidth="1"/>
    <col min="4" max="4" width="14.5703125" customWidth="1"/>
    <col min="5" max="5" width="12.42578125" customWidth="1"/>
    <col min="6" max="6" width="13.85546875" customWidth="1"/>
    <col min="7" max="7" width="12.28515625" bestFit="1" customWidth="1"/>
    <col min="8" max="8" width="14.5703125" bestFit="1" customWidth="1"/>
    <col min="9" max="9" width="15.42578125" bestFit="1" customWidth="1"/>
    <col min="10" max="10" width="14.28515625" customWidth="1"/>
    <col min="11" max="11" width="15" style="336" customWidth="1"/>
    <col min="12" max="12" width="15.5703125" style="77" bestFit="1" customWidth="1"/>
    <col min="13" max="13" width="13.28515625" style="181" customWidth="1"/>
    <col min="14" max="14" width="7.5703125" style="181" customWidth="1"/>
    <col min="15" max="15" width="12.7109375" style="181" bestFit="1" customWidth="1"/>
    <col min="16" max="16" width="13.7109375" customWidth="1"/>
    <col min="17" max="17" width="17.7109375" bestFit="1" customWidth="1"/>
    <col min="18" max="18" width="14.28515625" bestFit="1" customWidth="1"/>
    <col min="19" max="19" width="12.85546875" bestFit="1" customWidth="1"/>
    <col min="20" max="20" width="14.28515625" customWidth="1"/>
    <col min="21" max="21" width="15.7109375" bestFit="1" customWidth="1"/>
    <col min="22" max="22" width="12.7109375" bestFit="1" customWidth="1"/>
    <col min="23" max="23" width="12.42578125" customWidth="1"/>
    <col min="24" max="26" width="14" customWidth="1"/>
    <col min="27" max="27" width="17.7109375" style="347" bestFit="1" customWidth="1"/>
    <col min="28" max="29" width="13.28515625" bestFit="1" customWidth="1"/>
  </cols>
  <sheetData>
    <row r="1" spans="1:29" ht="20.25" x14ac:dyDescent="0.35">
      <c r="A1" s="380" t="s">
        <v>71</v>
      </c>
      <c r="B1" s="380"/>
      <c r="C1" s="380"/>
      <c r="D1" s="380"/>
      <c r="E1" s="96"/>
      <c r="F1" s="96"/>
      <c r="G1" s="96"/>
      <c r="H1" s="96"/>
      <c r="I1" s="282"/>
      <c r="J1" s="96"/>
      <c r="K1" s="321"/>
      <c r="L1" s="96"/>
      <c r="M1" s="170"/>
      <c r="N1" s="170"/>
      <c r="O1" s="170"/>
      <c r="P1" s="155"/>
      <c r="Q1" s="121"/>
      <c r="R1" s="138"/>
      <c r="S1" s="121"/>
      <c r="T1" s="121"/>
      <c r="U1" s="150"/>
      <c r="V1" s="150"/>
      <c r="W1" s="150"/>
      <c r="X1" s="150"/>
      <c r="Y1" s="150"/>
      <c r="Z1" s="150"/>
      <c r="AA1" s="342"/>
    </row>
    <row r="2" spans="1:29" ht="20.25" customHeight="1" x14ac:dyDescent="0.3">
      <c r="A2" s="381"/>
      <c r="B2" s="381"/>
      <c r="C2" s="381"/>
      <c r="D2" s="390" t="s">
        <v>155</v>
      </c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90"/>
      <c r="Y2" s="390"/>
      <c r="Z2" s="390"/>
      <c r="AA2" s="390"/>
    </row>
    <row r="3" spans="1:29" ht="18" thickBot="1" x14ac:dyDescent="0.35">
      <c r="A3" s="391"/>
      <c r="B3" s="391"/>
      <c r="C3" s="391"/>
      <c r="D3" s="1"/>
      <c r="E3" s="1"/>
      <c r="F3" s="1"/>
      <c r="G3" s="1"/>
      <c r="H3" s="1"/>
      <c r="I3" s="279"/>
      <c r="J3" s="1"/>
      <c r="K3" s="122"/>
      <c r="L3" s="1"/>
      <c r="M3" s="171"/>
      <c r="N3" s="171"/>
      <c r="O3" s="171"/>
      <c r="P3" s="122"/>
      <c r="Q3" s="122"/>
      <c r="R3" s="1"/>
      <c r="S3" s="122"/>
      <c r="T3" s="122"/>
      <c r="U3" s="122"/>
      <c r="V3" s="122"/>
      <c r="W3" s="122"/>
      <c r="X3" s="122"/>
      <c r="Y3" s="122"/>
      <c r="Z3" s="122"/>
      <c r="AA3" s="343"/>
    </row>
    <row r="4" spans="1:29" ht="34.5" customHeight="1" thickTop="1" x14ac:dyDescent="0.25">
      <c r="A4" s="382" t="s">
        <v>0</v>
      </c>
      <c r="B4" s="384" t="s">
        <v>45</v>
      </c>
      <c r="C4" s="386" t="s">
        <v>46</v>
      </c>
      <c r="D4" s="388" t="s">
        <v>42</v>
      </c>
      <c r="E4" s="393" t="s">
        <v>40</v>
      </c>
      <c r="F4" s="394"/>
      <c r="G4" s="394"/>
      <c r="H4" s="395"/>
      <c r="I4" s="392" t="s">
        <v>44</v>
      </c>
      <c r="J4" s="388" t="s">
        <v>106</v>
      </c>
      <c r="K4" s="388" t="s">
        <v>47</v>
      </c>
      <c r="L4" s="388" t="s">
        <v>134</v>
      </c>
      <c r="M4" s="397" t="s">
        <v>132</v>
      </c>
      <c r="N4" s="397" t="s">
        <v>131</v>
      </c>
      <c r="O4" s="397" t="s">
        <v>133</v>
      </c>
      <c r="P4" s="388" t="s">
        <v>14</v>
      </c>
      <c r="Q4" s="393" t="s">
        <v>48</v>
      </c>
      <c r="R4" s="394"/>
      <c r="S4" s="395"/>
      <c r="T4" s="388" t="s">
        <v>11</v>
      </c>
      <c r="U4" s="396" t="s">
        <v>49</v>
      </c>
      <c r="V4" s="396"/>
      <c r="W4" s="396"/>
      <c r="X4" s="396"/>
      <c r="Y4" s="294" t="s">
        <v>135</v>
      </c>
      <c r="Z4" s="294" t="s">
        <v>144</v>
      </c>
      <c r="AA4" s="400" t="s">
        <v>87</v>
      </c>
      <c r="AB4" s="29"/>
    </row>
    <row r="5" spans="1:29" ht="31.5" x14ac:dyDescent="0.25">
      <c r="A5" s="383"/>
      <c r="B5" s="385"/>
      <c r="C5" s="387"/>
      <c r="D5" s="389"/>
      <c r="E5" s="7" t="s">
        <v>41</v>
      </c>
      <c r="F5" s="7" t="s">
        <v>39</v>
      </c>
      <c r="G5" s="7" t="s">
        <v>110</v>
      </c>
      <c r="H5" s="7" t="s">
        <v>89</v>
      </c>
      <c r="I5" s="398"/>
      <c r="J5" s="389"/>
      <c r="K5" s="389"/>
      <c r="L5" s="389"/>
      <c r="M5" s="399"/>
      <c r="N5" s="399"/>
      <c r="O5" s="399"/>
      <c r="P5" s="389"/>
      <c r="Q5" s="30" t="s">
        <v>78</v>
      </c>
      <c r="R5" s="30" t="s">
        <v>12</v>
      </c>
      <c r="S5" s="30" t="s">
        <v>10</v>
      </c>
      <c r="T5" s="389"/>
      <c r="U5" s="30" t="s">
        <v>8</v>
      </c>
      <c r="V5" s="30" t="s">
        <v>9</v>
      </c>
      <c r="W5" s="30" t="s">
        <v>10</v>
      </c>
      <c r="X5" s="113" t="s">
        <v>11</v>
      </c>
      <c r="Y5" s="113"/>
      <c r="Z5" s="113"/>
      <c r="AA5" s="401"/>
      <c r="AB5" s="29"/>
    </row>
    <row r="6" spans="1:29" s="306" customFormat="1" ht="25.5" x14ac:dyDescent="0.2">
      <c r="A6" s="299"/>
      <c r="B6" s="300"/>
      <c r="C6" s="300"/>
      <c r="D6" s="301"/>
      <c r="E6" s="307">
        <v>1</v>
      </c>
      <c r="F6" s="308">
        <v>2</v>
      </c>
      <c r="G6" s="308">
        <v>3</v>
      </c>
      <c r="H6" s="308">
        <v>4</v>
      </c>
      <c r="I6" s="309">
        <v>5</v>
      </c>
      <c r="J6" s="304">
        <v>6</v>
      </c>
      <c r="K6" s="301" t="s">
        <v>136</v>
      </c>
      <c r="L6" s="301" t="s">
        <v>137</v>
      </c>
      <c r="M6" s="304">
        <v>9</v>
      </c>
      <c r="N6" s="304">
        <v>10</v>
      </c>
      <c r="O6" s="304" t="s">
        <v>138</v>
      </c>
      <c r="P6" s="304">
        <v>12</v>
      </c>
      <c r="Q6" s="302">
        <v>13</v>
      </c>
      <c r="R6" s="302">
        <v>14</v>
      </c>
      <c r="S6" s="302">
        <v>15</v>
      </c>
      <c r="T6" s="301" t="s">
        <v>139</v>
      </c>
      <c r="U6" s="302">
        <v>17</v>
      </c>
      <c r="V6" s="302">
        <v>18</v>
      </c>
      <c r="W6" s="302">
        <v>19</v>
      </c>
      <c r="X6" s="300" t="s">
        <v>140</v>
      </c>
      <c r="Y6" s="300" t="s">
        <v>141</v>
      </c>
      <c r="Z6" s="300" t="s">
        <v>142</v>
      </c>
      <c r="AA6" s="363" t="s">
        <v>143</v>
      </c>
      <c r="AB6" s="305"/>
    </row>
    <row r="7" spans="1:29" ht="15.75" x14ac:dyDescent="0.25">
      <c r="A7" s="66" t="s">
        <v>13</v>
      </c>
      <c r="B7" s="67" t="s">
        <v>15</v>
      </c>
      <c r="C7" s="68"/>
      <c r="D7" s="7"/>
      <c r="E7" s="260"/>
      <c r="F7" s="7"/>
      <c r="G7" s="7"/>
      <c r="H7" s="7"/>
      <c r="I7" s="7"/>
      <c r="J7" s="7"/>
      <c r="K7" s="142"/>
      <c r="L7" s="7"/>
      <c r="M7" s="172"/>
      <c r="N7" s="172"/>
      <c r="O7" s="172"/>
      <c r="P7" s="142"/>
      <c r="Q7" s="123"/>
      <c r="R7" s="139"/>
      <c r="S7" s="123"/>
      <c r="T7" s="142"/>
      <c r="U7" s="123"/>
      <c r="V7" s="123"/>
      <c r="W7" s="123"/>
      <c r="X7" s="152"/>
      <c r="Y7" s="152"/>
      <c r="Z7" s="152"/>
      <c r="AA7" s="364"/>
      <c r="AB7" s="29"/>
    </row>
    <row r="8" spans="1:29" ht="15.75" x14ac:dyDescent="0.25">
      <c r="A8" s="6">
        <v>1</v>
      </c>
      <c r="B8" s="62" t="s">
        <v>1</v>
      </c>
      <c r="C8" s="63" t="s">
        <v>32</v>
      </c>
      <c r="D8" s="64">
        <v>9000000</v>
      </c>
      <c r="E8" s="370">
        <v>1040000</v>
      </c>
      <c r="F8" s="21">
        <v>2500000</v>
      </c>
      <c r="G8" s="21">
        <v>400000</v>
      </c>
      <c r="H8" s="21">
        <v>2000000</v>
      </c>
      <c r="I8" s="114">
        <v>0</v>
      </c>
      <c r="J8" s="33">
        <f>13*400000-700000</f>
        <v>4500000</v>
      </c>
      <c r="K8" s="65">
        <f t="shared" ref="K8:K15" si="0">SUM(D8:J8)</f>
        <v>19440000</v>
      </c>
      <c r="L8" s="65">
        <f t="shared" ref="L8:L15" si="1">K8-E8-F8-G8</f>
        <v>15500000</v>
      </c>
      <c r="M8" s="173">
        <v>15500000</v>
      </c>
      <c r="N8" s="173">
        <v>0</v>
      </c>
      <c r="O8" s="173">
        <v>0</v>
      </c>
      <c r="P8" s="86">
        <v>0</v>
      </c>
      <c r="Q8" s="83">
        <f>P8*17%</f>
        <v>0</v>
      </c>
      <c r="R8" s="140">
        <f t="shared" ref="R8:R15" si="2">P8*3%</f>
        <v>0</v>
      </c>
      <c r="S8" s="83">
        <f t="shared" ref="S8:S9" si="3">P8*1%</f>
        <v>0</v>
      </c>
      <c r="T8" s="82">
        <f t="shared" ref="T8:T15" si="4">SUM(Q8:S8)</f>
        <v>0</v>
      </c>
      <c r="U8" s="151">
        <f t="shared" ref="U8:U15" si="5">P8*8%</f>
        <v>0</v>
      </c>
      <c r="V8" s="151">
        <f t="shared" ref="V8:V15" si="6">P8*1.5%</f>
        <v>0</v>
      </c>
      <c r="W8" s="151">
        <f t="shared" ref="W8:W15" si="7">P8*1%</f>
        <v>0</v>
      </c>
      <c r="X8" s="153">
        <f>SUM(U8:W8)</f>
        <v>0</v>
      </c>
      <c r="Y8" s="153">
        <f t="shared" ref="Y8:Y15" si="8">L8-M8-O8-X7</f>
        <v>0</v>
      </c>
      <c r="Z8" s="153"/>
      <c r="AA8" s="337">
        <f t="shared" ref="AA8:AA15" si="9">K8-X8-Z8</f>
        <v>19440000</v>
      </c>
      <c r="AB8" s="32"/>
    </row>
    <row r="9" spans="1:29" ht="15.75" x14ac:dyDescent="0.25">
      <c r="A9" s="5">
        <v>2</v>
      </c>
      <c r="B9" s="31" t="s">
        <v>16</v>
      </c>
      <c r="C9" s="8" t="s">
        <v>17</v>
      </c>
      <c r="D9" s="21">
        <v>8500000</v>
      </c>
      <c r="E9" s="371">
        <v>1040000</v>
      </c>
      <c r="F9" s="10">
        <v>2500000</v>
      </c>
      <c r="G9" s="10">
        <v>400000</v>
      </c>
      <c r="H9" s="10">
        <v>2000000</v>
      </c>
      <c r="I9" s="11">
        <v>0</v>
      </c>
      <c r="J9" s="33">
        <f>13*400000-700000</f>
        <v>4500000</v>
      </c>
      <c r="K9" s="65">
        <f t="shared" si="0"/>
        <v>18940000</v>
      </c>
      <c r="L9" s="65">
        <f t="shared" si="1"/>
        <v>15000000</v>
      </c>
      <c r="M9" s="173">
        <v>15500000</v>
      </c>
      <c r="N9" s="173">
        <v>0</v>
      </c>
      <c r="O9" s="173">
        <v>0</v>
      </c>
      <c r="P9" s="156">
        <v>0</v>
      </c>
      <c r="Q9" s="84">
        <f t="shared" ref="Q9" si="10">P9*17.5%</f>
        <v>0</v>
      </c>
      <c r="R9" s="33">
        <f t="shared" si="2"/>
        <v>0</v>
      </c>
      <c r="S9" s="136">
        <f t="shared" si="3"/>
        <v>0</v>
      </c>
      <c r="T9" s="143">
        <f t="shared" si="4"/>
        <v>0</v>
      </c>
      <c r="U9" s="87">
        <f t="shared" si="5"/>
        <v>0</v>
      </c>
      <c r="V9" s="87">
        <f t="shared" si="6"/>
        <v>0</v>
      </c>
      <c r="W9" s="87">
        <f t="shared" si="7"/>
        <v>0</v>
      </c>
      <c r="X9" s="154">
        <f>SUM(U9:W9)</f>
        <v>0</v>
      </c>
      <c r="Y9" s="153">
        <f t="shared" si="8"/>
        <v>-500000</v>
      </c>
      <c r="Z9" s="153"/>
      <c r="AA9" s="337">
        <f t="shared" si="9"/>
        <v>18940000</v>
      </c>
      <c r="AB9" s="29"/>
    </row>
    <row r="10" spans="1:29" ht="15.75" x14ac:dyDescent="0.25">
      <c r="A10" s="6">
        <v>3</v>
      </c>
      <c r="B10" s="31" t="s">
        <v>4</v>
      </c>
      <c r="C10" s="9" t="s">
        <v>7</v>
      </c>
      <c r="D10" s="10">
        <v>7000000</v>
      </c>
      <c r="E10" s="372">
        <v>1040000</v>
      </c>
      <c r="F10" s="10">
        <v>2000000</v>
      </c>
      <c r="G10" s="21">
        <v>400000</v>
      </c>
      <c r="H10" s="10">
        <v>2000000</v>
      </c>
      <c r="I10" s="246">
        <v>0</v>
      </c>
      <c r="J10" s="33">
        <f>13*400000</f>
        <v>5200000</v>
      </c>
      <c r="K10" s="65">
        <f t="shared" si="0"/>
        <v>17640000</v>
      </c>
      <c r="L10" s="65">
        <f t="shared" si="1"/>
        <v>14200000</v>
      </c>
      <c r="M10" s="173">
        <v>15500000</v>
      </c>
      <c r="N10" s="173"/>
      <c r="O10" s="173">
        <v>0</v>
      </c>
      <c r="P10" s="143">
        <f>D10</f>
        <v>7000000</v>
      </c>
      <c r="Q10" s="84">
        <f>P10*17.5%</f>
        <v>1225000</v>
      </c>
      <c r="R10" s="33">
        <f t="shared" si="2"/>
        <v>210000</v>
      </c>
      <c r="S10" s="136">
        <f>P10*1%</f>
        <v>70000</v>
      </c>
      <c r="T10" s="143">
        <f t="shared" si="4"/>
        <v>1505000</v>
      </c>
      <c r="U10" s="87">
        <f t="shared" si="5"/>
        <v>560000</v>
      </c>
      <c r="V10" s="87">
        <f t="shared" si="6"/>
        <v>105000</v>
      </c>
      <c r="W10" s="87">
        <f t="shared" si="7"/>
        <v>70000</v>
      </c>
      <c r="X10" s="154">
        <f t="shared" ref="X10:X15" si="11">SUM(U10:W10)</f>
        <v>735000</v>
      </c>
      <c r="Y10" s="153">
        <f t="shared" si="8"/>
        <v>-1300000</v>
      </c>
      <c r="Z10" s="153"/>
      <c r="AA10" s="337">
        <f t="shared" si="9"/>
        <v>16905000</v>
      </c>
      <c r="AB10" s="32"/>
    </row>
    <row r="11" spans="1:29" ht="15.75" x14ac:dyDescent="0.25">
      <c r="A11" s="5">
        <v>4</v>
      </c>
      <c r="B11" s="31" t="s">
        <v>3</v>
      </c>
      <c r="C11" s="9" t="s">
        <v>33</v>
      </c>
      <c r="D11" s="10">
        <v>5000000</v>
      </c>
      <c r="E11" s="372">
        <v>1040000</v>
      </c>
      <c r="F11" s="21">
        <v>1500000</v>
      </c>
      <c r="G11" s="10">
        <v>400000</v>
      </c>
      <c r="H11" s="10">
        <v>2000000</v>
      </c>
      <c r="I11" s="11">
        <v>0</v>
      </c>
      <c r="J11" s="33">
        <f>13*300000</f>
        <v>3900000</v>
      </c>
      <c r="K11" s="65">
        <f t="shared" si="0"/>
        <v>13840000</v>
      </c>
      <c r="L11" s="65">
        <f t="shared" si="1"/>
        <v>10900000</v>
      </c>
      <c r="M11" s="173">
        <v>15500000</v>
      </c>
      <c r="N11" s="173"/>
      <c r="O11" s="173">
        <v>0</v>
      </c>
      <c r="P11" s="143">
        <v>5000000</v>
      </c>
      <c r="Q11" s="84">
        <f t="shared" ref="Q11:Q15" si="12">P11*17.5%</f>
        <v>875000</v>
      </c>
      <c r="R11" s="33">
        <f t="shared" si="2"/>
        <v>150000</v>
      </c>
      <c r="S11" s="136">
        <f t="shared" ref="S11:S15" si="13">P11*1%</f>
        <v>50000</v>
      </c>
      <c r="T11" s="143">
        <f t="shared" si="4"/>
        <v>1075000</v>
      </c>
      <c r="U11" s="87">
        <f t="shared" si="5"/>
        <v>400000</v>
      </c>
      <c r="V11" s="87">
        <f t="shared" si="6"/>
        <v>75000</v>
      </c>
      <c r="W11" s="87">
        <f t="shared" si="7"/>
        <v>50000</v>
      </c>
      <c r="X11" s="154">
        <f t="shared" si="11"/>
        <v>525000</v>
      </c>
      <c r="Y11" s="153">
        <f t="shared" si="8"/>
        <v>-5335000</v>
      </c>
      <c r="Z11" s="153"/>
      <c r="AA11" s="337">
        <f t="shared" si="9"/>
        <v>13315000</v>
      </c>
      <c r="AB11" s="32"/>
      <c r="AC11" s="3"/>
    </row>
    <row r="12" spans="1:29" ht="15.75" x14ac:dyDescent="0.25">
      <c r="A12" s="6">
        <v>5</v>
      </c>
      <c r="B12" s="31" t="s">
        <v>82</v>
      </c>
      <c r="C12" s="9" t="s">
        <v>33</v>
      </c>
      <c r="D12" s="10">
        <v>5000000</v>
      </c>
      <c r="E12" s="372">
        <v>1040000</v>
      </c>
      <c r="F12" s="10">
        <v>1500000</v>
      </c>
      <c r="G12" s="10">
        <v>400000</v>
      </c>
      <c r="H12" s="10">
        <v>2000000</v>
      </c>
      <c r="I12" s="246">
        <v>0</v>
      </c>
      <c r="J12" s="33">
        <f>13*300000</f>
        <v>3900000</v>
      </c>
      <c r="K12" s="65">
        <f t="shared" si="0"/>
        <v>13840000</v>
      </c>
      <c r="L12" s="65">
        <f t="shared" si="1"/>
        <v>10900000</v>
      </c>
      <c r="M12" s="173">
        <v>15500000</v>
      </c>
      <c r="N12" s="173"/>
      <c r="O12" s="173">
        <v>0</v>
      </c>
      <c r="P12" s="143">
        <f>D12</f>
        <v>5000000</v>
      </c>
      <c r="Q12" s="84">
        <f t="shared" si="12"/>
        <v>875000</v>
      </c>
      <c r="R12" s="33">
        <f t="shared" si="2"/>
        <v>150000</v>
      </c>
      <c r="S12" s="136">
        <f t="shared" si="13"/>
        <v>50000</v>
      </c>
      <c r="T12" s="143">
        <f t="shared" si="4"/>
        <v>1075000</v>
      </c>
      <c r="U12" s="87">
        <f t="shared" si="5"/>
        <v>400000</v>
      </c>
      <c r="V12" s="87">
        <f t="shared" si="6"/>
        <v>75000</v>
      </c>
      <c r="W12" s="87">
        <f t="shared" si="7"/>
        <v>50000</v>
      </c>
      <c r="X12" s="154">
        <f t="shared" si="11"/>
        <v>525000</v>
      </c>
      <c r="Y12" s="153">
        <f t="shared" si="8"/>
        <v>-5125000</v>
      </c>
      <c r="Z12" s="153"/>
      <c r="AA12" s="337">
        <f t="shared" si="9"/>
        <v>13315000</v>
      </c>
      <c r="AB12" s="29"/>
    </row>
    <row r="13" spans="1:29" ht="15.75" x14ac:dyDescent="0.25">
      <c r="A13" s="5">
        <v>6</v>
      </c>
      <c r="B13" s="31" t="s">
        <v>5</v>
      </c>
      <c r="C13" s="9" t="s">
        <v>34</v>
      </c>
      <c r="D13" s="10">
        <v>5000000</v>
      </c>
      <c r="E13" s="372">
        <v>1040000</v>
      </c>
      <c r="F13" s="10">
        <v>1500000</v>
      </c>
      <c r="G13" s="10">
        <v>400000</v>
      </c>
      <c r="H13" s="10">
        <v>2000000</v>
      </c>
      <c r="I13" s="11">
        <v>0</v>
      </c>
      <c r="J13" s="33">
        <f>13*300000</f>
        <v>3900000</v>
      </c>
      <c r="K13" s="65">
        <f t="shared" si="0"/>
        <v>13840000</v>
      </c>
      <c r="L13" s="65">
        <f t="shared" si="1"/>
        <v>10900000</v>
      </c>
      <c r="M13" s="173">
        <v>15500000</v>
      </c>
      <c r="N13" s="173"/>
      <c r="O13" s="173">
        <v>0</v>
      </c>
      <c r="P13" s="143">
        <f>D13</f>
        <v>5000000</v>
      </c>
      <c r="Q13" s="84">
        <f t="shared" si="12"/>
        <v>875000</v>
      </c>
      <c r="R13" s="33">
        <f t="shared" si="2"/>
        <v>150000</v>
      </c>
      <c r="S13" s="136">
        <f t="shared" si="13"/>
        <v>50000</v>
      </c>
      <c r="T13" s="143">
        <f t="shared" si="4"/>
        <v>1075000</v>
      </c>
      <c r="U13" s="87">
        <f t="shared" si="5"/>
        <v>400000</v>
      </c>
      <c r="V13" s="87">
        <f t="shared" si="6"/>
        <v>75000</v>
      </c>
      <c r="W13" s="87">
        <f t="shared" si="7"/>
        <v>50000</v>
      </c>
      <c r="X13" s="154">
        <f t="shared" si="11"/>
        <v>525000</v>
      </c>
      <c r="Y13" s="153">
        <f t="shared" si="8"/>
        <v>-5125000</v>
      </c>
      <c r="Z13" s="153"/>
      <c r="AA13" s="337">
        <f t="shared" si="9"/>
        <v>13315000</v>
      </c>
      <c r="AB13" s="32"/>
    </row>
    <row r="14" spans="1:29" ht="15.75" x14ac:dyDescent="0.25">
      <c r="A14" s="6">
        <v>7</v>
      </c>
      <c r="B14" s="31" t="s">
        <v>74</v>
      </c>
      <c r="C14" s="22" t="s">
        <v>35</v>
      </c>
      <c r="D14" s="10">
        <v>7000000</v>
      </c>
      <c r="E14" s="373">
        <v>1040000</v>
      </c>
      <c r="F14" s="10">
        <v>1500000</v>
      </c>
      <c r="G14" s="110">
        <v>400000</v>
      </c>
      <c r="H14" s="10">
        <v>2000000</v>
      </c>
      <c r="I14" s="114">
        <v>0</v>
      </c>
      <c r="J14" s="33">
        <f>13*350000</f>
        <v>4550000</v>
      </c>
      <c r="K14" s="65">
        <f t="shared" si="0"/>
        <v>16490000</v>
      </c>
      <c r="L14" s="65">
        <f t="shared" si="1"/>
        <v>13550000</v>
      </c>
      <c r="M14" s="173">
        <v>15500000</v>
      </c>
      <c r="N14" s="190"/>
      <c r="O14" s="173">
        <v>0</v>
      </c>
      <c r="P14" s="157">
        <v>7000000</v>
      </c>
      <c r="Q14" s="84">
        <f t="shared" si="12"/>
        <v>1225000</v>
      </c>
      <c r="R14" s="33">
        <f t="shared" si="2"/>
        <v>210000</v>
      </c>
      <c r="S14" s="136">
        <f t="shared" si="13"/>
        <v>70000</v>
      </c>
      <c r="T14" s="143">
        <f t="shared" si="4"/>
        <v>1505000</v>
      </c>
      <c r="U14" s="87">
        <f t="shared" si="5"/>
        <v>560000</v>
      </c>
      <c r="V14" s="87">
        <f t="shared" si="6"/>
        <v>105000</v>
      </c>
      <c r="W14" s="87">
        <f t="shared" si="7"/>
        <v>70000</v>
      </c>
      <c r="X14" s="154">
        <f t="shared" si="11"/>
        <v>735000</v>
      </c>
      <c r="Y14" s="153">
        <f t="shared" si="8"/>
        <v>-2475000</v>
      </c>
      <c r="Z14" s="153"/>
      <c r="AA14" s="337">
        <f t="shared" si="9"/>
        <v>15755000</v>
      </c>
      <c r="AB14" s="29"/>
    </row>
    <row r="15" spans="1:29" ht="15.75" x14ac:dyDescent="0.25">
      <c r="A15" s="5">
        <v>8</v>
      </c>
      <c r="B15" s="117" t="s">
        <v>107</v>
      </c>
      <c r="C15" s="22" t="s">
        <v>35</v>
      </c>
      <c r="D15" s="21">
        <v>7000000</v>
      </c>
      <c r="E15" s="371">
        <v>1040000</v>
      </c>
      <c r="F15" s="10">
        <v>1500000</v>
      </c>
      <c r="G15" s="10">
        <v>400000</v>
      </c>
      <c r="H15" s="10">
        <v>2000000</v>
      </c>
      <c r="I15" s="81">
        <v>0</v>
      </c>
      <c r="J15" s="33">
        <f>13*350000</f>
        <v>4550000</v>
      </c>
      <c r="K15" s="65">
        <f t="shared" si="0"/>
        <v>16490000</v>
      </c>
      <c r="L15" s="65">
        <f t="shared" si="1"/>
        <v>13550000</v>
      </c>
      <c r="M15" s="173">
        <v>15500000</v>
      </c>
      <c r="N15" s="190"/>
      <c r="O15" s="173">
        <v>0</v>
      </c>
      <c r="P15" s="157">
        <f>D15</f>
        <v>7000000</v>
      </c>
      <c r="Q15" s="84">
        <f t="shared" si="12"/>
        <v>1225000</v>
      </c>
      <c r="R15" s="33">
        <f t="shared" si="2"/>
        <v>210000</v>
      </c>
      <c r="S15" s="136">
        <f t="shared" si="13"/>
        <v>70000</v>
      </c>
      <c r="T15" s="143">
        <f t="shared" si="4"/>
        <v>1505000</v>
      </c>
      <c r="U15" s="87">
        <f t="shared" si="5"/>
        <v>560000</v>
      </c>
      <c r="V15" s="87">
        <f t="shared" si="6"/>
        <v>105000</v>
      </c>
      <c r="W15" s="87">
        <f t="shared" si="7"/>
        <v>70000</v>
      </c>
      <c r="X15" s="154">
        <f t="shared" si="11"/>
        <v>735000</v>
      </c>
      <c r="Y15" s="153">
        <f t="shared" si="8"/>
        <v>-2685000</v>
      </c>
      <c r="Z15" s="153"/>
      <c r="AA15" s="337">
        <f t="shared" si="9"/>
        <v>15755000</v>
      </c>
      <c r="AB15" s="29"/>
      <c r="AC15" s="3"/>
    </row>
    <row r="16" spans="1:29" ht="15.75" x14ac:dyDescent="0.25">
      <c r="A16" s="34"/>
      <c r="B16" s="42" t="s">
        <v>22</v>
      </c>
      <c r="C16" s="35"/>
      <c r="D16" s="12">
        <f>SUM(D8:D15)</f>
        <v>53500000</v>
      </c>
      <c r="E16" s="12">
        <f t="shared" ref="E16:AA16" si="14">SUM(E8:E15)</f>
        <v>8320000</v>
      </c>
      <c r="F16" s="12">
        <f t="shared" si="14"/>
        <v>14500000</v>
      </c>
      <c r="G16" s="12">
        <f t="shared" si="14"/>
        <v>3200000</v>
      </c>
      <c r="H16" s="12">
        <f t="shared" si="14"/>
        <v>16000000</v>
      </c>
      <c r="I16" s="12">
        <f t="shared" si="14"/>
        <v>0</v>
      </c>
      <c r="J16" s="12">
        <f t="shared" si="14"/>
        <v>35000000</v>
      </c>
      <c r="K16" s="129">
        <f t="shared" si="14"/>
        <v>130520000</v>
      </c>
      <c r="L16" s="12">
        <f t="shared" si="14"/>
        <v>104500000</v>
      </c>
      <c r="M16" s="12">
        <f t="shared" si="14"/>
        <v>124000000</v>
      </c>
      <c r="N16" s="12">
        <f t="shared" si="14"/>
        <v>0</v>
      </c>
      <c r="O16" s="12"/>
      <c r="P16" s="12">
        <f t="shared" si="14"/>
        <v>36000000</v>
      </c>
      <c r="Q16" s="12">
        <f t="shared" si="14"/>
        <v>6300000</v>
      </c>
      <c r="R16" s="12">
        <f t="shared" si="14"/>
        <v>1080000</v>
      </c>
      <c r="S16" s="12">
        <f t="shared" si="14"/>
        <v>360000</v>
      </c>
      <c r="T16" s="12">
        <f t="shared" si="14"/>
        <v>7740000</v>
      </c>
      <c r="U16" s="12">
        <f t="shared" si="14"/>
        <v>2880000</v>
      </c>
      <c r="V16" s="12">
        <f t="shared" si="14"/>
        <v>540000</v>
      </c>
      <c r="W16" s="12">
        <f t="shared" si="14"/>
        <v>360000</v>
      </c>
      <c r="X16" s="12">
        <f t="shared" si="14"/>
        <v>3780000</v>
      </c>
      <c r="Y16" s="12"/>
      <c r="Z16" s="12"/>
      <c r="AA16" s="365">
        <f t="shared" si="14"/>
        <v>126740000</v>
      </c>
      <c r="AB16" s="36"/>
    </row>
    <row r="17" spans="1:30" ht="17.25" customHeight="1" x14ac:dyDescent="0.25">
      <c r="A17" s="37" t="s">
        <v>19</v>
      </c>
      <c r="B17" s="38" t="s">
        <v>20</v>
      </c>
      <c r="C17" s="35"/>
      <c r="D17" s="13"/>
      <c r="E17" s="13"/>
      <c r="F17" s="13"/>
      <c r="G17" s="240"/>
      <c r="H17" s="13"/>
      <c r="I17" s="13"/>
      <c r="J17" s="13"/>
      <c r="K17" s="322"/>
      <c r="L17" s="13">
        <f>K16-E16-F16-G16</f>
        <v>104500000</v>
      </c>
      <c r="M17" s="174"/>
      <c r="N17" s="174"/>
      <c r="O17" s="174"/>
      <c r="P17" s="124"/>
      <c r="Q17" s="124"/>
      <c r="R17" s="14"/>
      <c r="S17" s="124"/>
      <c r="T17" s="124"/>
      <c r="U17" s="124"/>
      <c r="V17" s="124"/>
      <c r="W17" s="124"/>
      <c r="X17" s="124"/>
      <c r="Y17" s="124"/>
      <c r="Z17" s="124"/>
      <c r="AA17" s="366"/>
      <c r="AB17" s="32"/>
    </row>
    <row r="18" spans="1:30" ht="17.25" customHeight="1" x14ac:dyDescent="0.25">
      <c r="A18" s="37" t="s">
        <v>23</v>
      </c>
      <c r="B18" s="38" t="s">
        <v>25</v>
      </c>
      <c r="C18" s="35"/>
      <c r="D18" s="13"/>
      <c r="E18" s="13"/>
      <c r="F18" s="13"/>
      <c r="G18" s="99"/>
      <c r="H18" s="13"/>
      <c r="I18" s="295"/>
      <c r="J18" s="13" t="s">
        <v>115</v>
      </c>
      <c r="K18" s="243"/>
      <c r="L18" s="13"/>
      <c r="M18" s="174"/>
      <c r="N18" s="174"/>
      <c r="O18" s="174"/>
      <c r="P18" s="124"/>
      <c r="Q18" s="124"/>
      <c r="R18" s="14"/>
      <c r="S18" s="124"/>
      <c r="T18" s="124"/>
      <c r="U18" s="124"/>
      <c r="V18" s="124"/>
      <c r="W18" s="124"/>
      <c r="X18" s="124"/>
      <c r="Y18" s="124"/>
      <c r="Z18" s="124"/>
      <c r="AA18" s="366"/>
      <c r="AB18" s="32"/>
    </row>
    <row r="19" spans="1:30" ht="20.100000000000001" customHeight="1" x14ac:dyDescent="0.25">
      <c r="A19" s="210">
        <v>9</v>
      </c>
      <c r="B19" s="44" t="s">
        <v>65</v>
      </c>
      <c r="C19" s="212" t="s">
        <v>54</v>
      </c>
      <c r="D19" s="213">
        <v>10500000</v>
      </c>
      <c r="E19" s="213"/>
      <c r="F19" s="214">
        <v>2500000</v>
      </c>
      <c r="G19" s="97">
        <v>400000</v>
      </c>
      <c r="H19" s="215">
        <v>2500000</v>
      </c>
      <c r="I19" s="214">
        <f>3*3500000</f>
        <v>10500000</v>
      </c>
      <c r="J19" s="214">
        <f>3000000*3</f>
        <v>9000000</v>
      </c>
      <c r="K19" s="357">
        <f t="shared" ref="K19:K30" si="15">SUM(D19:J19)</f>
        <v>35400000</v>
      </c>
      <c r="L19" s="216">
        <f t="shared" ref="L19:L30" si="16">K19-E19-F19-G19</f>
        <v>32500000</v>
      </c>
      <c r="M19" s="173">
        <v>15500000</v>
      </c>
      <c r="N19" s="213">
        <v>2</v>
      </c>
      <c r="O19" s="213">
        <f>N19*6200000</f>
        <v>12400000</v>
      </c>
      <c r="P19" s="217">
        <f>D19</f>
        <v>10500000</v>
      </c>
      <c r="Q19" s="218">
        <f>P19*17.5%</f>
        <v>1837499.9999999998</v>
      </c>
      <c r="R19" s="219">
        <f>P19*3%</f>
        <v>315000</v>
      </c>
      <c r="S19" s="218">
        <f>P19*1%</f>
        <v>105000</v>
      </c>
      <c r="T19" s="220">
        <f t="shared" ref="T19:T30" si="17">SUM(Q19:S19)</f>
        <v>2257500</v>
      </c>
      <c r="U19" s="218">
        <f>P19*8%</f>
        <v>840000</v>
      </c>
      <c r="V19" s="218">
        <f>P19*1.5%</f>
        <v>157500</v>
      </c>
      <c r="W19" s="218">
        <f>P19*1%</f>
        <v>105000</v>
      </c>
      <c r="X19" s="220">
        <f>SUM(U19:W19)</f>
        <v>1102500</v>
      </c>
      <c r="Y19" s="226">
        <f t="shared" ref="Y19:Y30" si="18">L19-M19-O19-X19</f>
        <v>3497500</v>
      </c>
      <c r="Z19" s="226">
        <f>Y19*5%</f>
        <v>174875</v>
      </c>
      <c r="AA19" s="337">
        <f t="shared" ref="AA19:AA30" si="19">K19-X19-Z19</f>
        <v>34122625</v>
      </c>
      <c r="AB19" s="32">
        <f>X19-'[4]15'!$F$8</f>
        <v>0</v>
      </c>
      <c r="AC19" s="3"/>
    </row>
    <row r="20" spans="1:30" s="91" customFormat="1" ht="20.100000000000001" customHeight="1" x14ac:dyDescent="0.25">
      <c r="A20" s="93">
        <v>10</v>
      </c>
      <c r="B20" s="44" t="s">
        <v>108</v>
      </c>
      <c r="C20" s="108" t="s">
        <v>145</v>
      </c>
      <c r="D20" s="100">
        <v>7600000</v>
      </c>
      <c r="E20" s="17"/>
      <c r="F20" s="10">
        <v>2500000</v>
      </c>
      <c r="G20" s="100">
        <v>400000</v>
      </c>
      <c r="H20" s="100">
        <v>2500000</v>
      </c>
      <c r="I20" s="10">
        <f>3*2500000</f>
        <v>7500000</v>
      </c>
      <c r="J20" s="100">
        <f>3*2000000</f>
        <v>6000000</v>
      </c>
      <c r="K20" s="350">
        <f t="shared" ref="K20" si="20">SUM(D20:J20)</f>
        <v>26500000</v>
      </c>
      <c r="L20" s="70">
        <f t="shared" si="16"/>
        <v>23600000</v>
      </c>
      <c r="M20" s="58">
        <v>15500000</v>
      </c>
      <c r="N20" s="127">
        <v>1</v>
      </c>
      <c r="O20" s="100">
        <f t="shared" ref="O20:O26" si="21">N20*6200000</f>
        <v>6200000</v>
      </c>
      <c r="P20" s="94">
        <f>D20</f>
        <v>7600000</v>
      </c>
      <c r="Q20" s="128">
        <f t="shared" ref="Q20:Q30" si="22">P20*17.5%</f>
        <v>1330000</v>
      </c>
      <c r="R20" s="112">
        <f t="shared" ref="R20:R30" si="23">P20*3%</f>
        <v>228000</v>
      </c>
      <c r="S20" s="125">
        <f t="shared" ref="S20:S30" si="24">P20*1%</f>
        <v>76000</v>
      </c>
      <c r="T20" s="144">
        <f t="shared" si="17"/>
        <v>1634000</v>
      </c>
      <c r="U20" s="125">
        <f t="shared" ref="U20:U26" si="25">P20*8%</f>
        <v>608000</v>
      </c>
      <c r="V20" s="125">
        <f t="shared" ref="V20:V26" si="26">P20*1.5%</f>
        <v>114000</v>
      </c>
      <c r="W20" s="125">
        <f t="shared" ref="W20:W26" si="27">P20*1%</f>
        <v>76000</v>
      </c>
      <c r="X20" s="144">
        <f t="shared" ref="X20:X26" si="28">SUM(U20:W20)</f>
        <v>798000</v>
      </c>
      <c r="Y20" s="145">
        <f t="shared" si="18"/>
        <v>1102000</v>
      </c>
      <c r="Z20" s="145">
        <f>Y20*5%</f>
        <v>55100</v>
      </c>
      <c r="AA20" s="337">
        <f t="shared" si="19"/>
        <v>25646900</v>
      </c>
      <c r="AB20" s="90">
        <f>X20-'[4]15'!$F$9</f>
        <v>0</v>
      </c>
    </row>
    <row r="21" spans="1:30" ht="20.100000000000001" customHeight="1" x14ac:dyDescent="0.25">
      <c r="A21" s="210">
        <v>11</v>
      </c>
      <c r="B21" s="44" t="s">
        <v>66</v>
      </c>
      <c r="C21" s="212" t="s">
        <v>55</v>
      </c>
      <c r="D21" s="222">
        <v>7600000</v>
      </c>
      <c r="E21" s="213"/>
      <c r="F21" s="224">
        <v>2500000</v>
      </c>
      <c r="G21" s="21">
        <v>400000</v>
      </c>
      <c r="H21" s="223">
        <v>2500000</v>
      </c>
      <c r="I21" s="224">
        <f>3*2500000</f>
        <v>7500000</v>
      </c>
      <c r="J21" s="228">
        <f>2000000*3</f>
        <v>6000000</v>
      </c>
      <c r="K21" s="352">
        <f t="shared" si="15"/>
        <v>26500000</v>
      </c>
      <c r="L21" s="216">
        <f t="shared" si="16"/>
        <v>23600000</v>
      </c>
      <c r="M21" s="173">
        <v>15500000</v>
      </c>
      <c r="N21" s="213">
        <v>2</v>
      </c>
      <c r="O21" s="213">
        <f t="shared" si="21"/>
        <v>12400000</v>
      </c>
      <c r="P21" s="217">
        <f>D21</f>
        <v>7600000</v>
      </c>
      <c r="Q21" s="218">
        <f t="shared" si="22"/>
        <v>1330000</v>
      </c>
      <c r="R21" s="219">
        <f t="shared" si="23"/>
        <v>228000</v>
      </c>
      <c r="S21" s="225">
        <f t="shared" si="24"/>
        <v>76000</v>
      </c>
      <c r="T21" s="226">
        <f t="shared" si="17"/>
        <v>1634000</v>
      </c>
      <c r="U21" s="225">
        <f t="shared" si="25"/>
        <v>608000</v>
      </c>
      <c r="V21" s="225">
        <f t="shared" si="26"/>
        <v>114000</v>
      </c>
      <c r="W21" s="225">
        <f t="shared" si="27"/>
        <v>76000</v>
      </c>
      <c r="X21" s="221">
        <f t="shared" si="28"/>
        <v>798000</v>
      </c>
      <c r="Y21" s="226">
        <f t="shared" si="18"/>
        <v>-5098000</v>
      </c>
      <c r="Z21" s="289"/>
      <c r="AA21" s="337">
        <f t="shared" si="19"/>
        <v>25702000</v>
      </c>
      <c r="AB21" s="32">
        <f>X21-'[4]15'!$F$14</f>
        <v>0</v>
      </c>
    </row>
    <row r="22" spans="1:30" ht="20.100000000000001" customHeight="1" x14ac:dyDescent="0.25">
      <c r="A22" s="93">
        <v>12</v>
      </c>
      <c r="B22" s="116" t="s">
        <v>98</v>
      </c>
      <c r="C22" s="108" t="s">
        <v>128</v>
      </c>
      <c r="D22" s="17">
        <v>5000000</v>
      </c>
      <c r="E22" s="17"/>
      <c r="F22" s="10">
        <v>2500000</v>
      </c>
      <c r="G22" s="10">
        <v>400000</v>
      </c>
      <c r="H22" s="56">
        <v>2500000</v>
      </c>
      <c r="I22" s="100">
        <f>3*2200000</f>
        <v>6600000</v>
      </c>
      <c r="J22" s="10">
        <f>3*1800000</f>
        <v>5400000</v>
      </c>
      <c r="K22" s="351">
        <f t="shared" ref="K22" si="29">SUM(D22:J22)</f>
        <v>22400000</v>
      </c>
      <c r="L22" s="70">
        <f t="shared" si="16"/>
        <v>19500000</v>
      </c>
      <c r="M22" s="58">
        <v>15500000</v>
      </c>
      <c r="N22" s="58"/>
      <c r="O22" s="58">
        <f t="shared" si="21"/>
        <v>0</v>
      </c>
      <c r="P22" s="145">
        <f>D22</f>
        <v>5000000</v>
      </c>
      <c r="Q22" s="125">
        <f>P22*17.5%</f>
        <v>875000</v>
      </c>
      <c r="R22" s="16">
        <f>P22*3%</f>
        <v>150000</v>
      </c>
      <c r="S22" s="126">
        <f>P22*1%</f>
        <v>50000</v>
      </c>
      <c r="T22" s="145">
        <f t="shared" si="17"/>
        <v>1075000</v>
      </c>
      <c r="U22" s="126">
        <f t="shared" si="25"/>
        <v>400000</v>
      </c>
      <c r="V22" s="126">
        <f t="shared" si="26"/>
        <v>75000</v>
      </c>
      <c r="W22" s="126">
        <f t="shared" si="27"/>
        <v>50000</v>
      </c>
      <c r="X22" s="145">
        <f t="shared" si="28"/>
        <v>525000</v>
      </c>
      <c r="Y22" s="145">
        <f t="shared" si="18"/>
        <v>3475000</v>
      </c>
      <c r="Z22" s="145">
        <f>Y22*5%</f>
        <v>173750</v>
      </c>
      <c r="AA22" s="337">
        <f t="shared" si="19"/>
        <v>21701250</v>
      </c>
      <c r="AB22" s="32">
        <f>X22-'[4]15'!$F$10+148750</f>
        <v>148750</v>
      </c>
    </row>
    <row r="23" spans="1:30" s="105" customFormat="1" ht="20.100000000000001" customHeight="1" x14ac:dyDescent="0.25">
      <c r="A23" s="210">
        <v>13</v>
      </c>
      <c r="B23" s="211" t="s">
        <v>75</v>
      </c>
      <c r="C23" s="108" t="s">
        <v>124</v>
      </c>
      <c r="D23" s="198">
        <v>6000000</v>
      </c>
      <c r="E23" s="338"/>
      <c r="F23" s="100">
        <v>2500000</v>
      </c>
      <c r="G23" s="100">
        <v>400000</v>
      </c>
      <c r="H23" s="197">
        <v>2500000</v>
      </c>
      <c r="I23" s="100">
        <f>3*2500000</f>
        <v>7500000</v>
      </c>
      <c r="J23" s="100">
        <f>2000000*3</f>
        <v>6000000</v>
      </c>
      <c r="K23" s="355">
        <f t="shared" ref="K23" si="30">SUM(D23:J23)</f>
        <v>24900000</v>
      </c>
      <c r="L23" s="208">
        <f t="shared" si="16"/>
        <v>22000000</v>
      </c>
      <c r="M23" s="263">
        <v>15500000</v>
      </c>
      <c r="N23" s="209"/>
      <c r="O23" s="209">
        <f t="shared" si="21"/>
        <v>0</v>
      </c>
      <c r="P23" s="145">
        <f>D23</f>
        <v>6000000</v>
      </c>
      <c r="Q23" s="126">
        <f t="shared" ref="Q23" si="31">P23*17.5%</f>
        <v>1050000</v>
      </c>
      <c r="R23" s="15">
        <f t="shared" ref="R23" si="32">P23*3%</f>
        <v>180000</v>
      </c>
      <c r="S23" s="126">
        <f t="shared" ref="S23" si="33">P23*1%</f>
        <v>60000</v>
      </c>
      <c r="T23" s="145">
        <f t="shared" si="17"/>
        <v>1290000</v>
      </c>
      <c r="U23" s="126">
        <f t="shared" si="25"/>
        <v>480000</v>
      </c>
      <c r="V23" s="126">
        <f t="shared" si="26"/>
        <v>90000</v>
      </c>
      <c r="W23" s="126">
        <f t="shared" si="27"/>
        <v>60000</v>
      </c>
      <c r="X23" s="145">
        <f t="shared" si="28"/>
        <v>630000</v>
      </c>
      <c r="Y23" s="145">
        <f t="shared" si="18"/>
        <v>5870000</v>
      </c>
      <c r="Z23" s="145">
        <f>Y23*5%</f>
        <v>293500</v>
      </c>
      <c r="AA23" s="337">
        <f t="shared" si="19"/>
        <v>23976500</v>
      </c>
      <c r="AB23" s="90">
        <f>X23-'[4]15'!$F$15+193500</f>
        <v>193500</v>
      </c>
    </row>
    <row r="24" spans="1:30" ht="20.100000000000001" customHeight="1" x14ac:dyDescent="0.25">
      <c r="A24" s="93">
        <v>14</v>
      </c>
      <c r="B24" s="31" t="s">
        <v>100</v>
      </c>
      <c r="C24" s="212" t="s">
        <v>125</v>
      </c>
      <c r="D24" s="222">
        <v>6000000</v>
      </c>
      <c r="E24" s="213"/>
      <c r="F24" s="224">
        <v>2500000</v>
      </c>
      <c r="G24" s="10">
        <v>400000</v>
      </c>
      <c r="H24" s="235">
        <v>2500000</v>
      </c>
      <c r="I24" s="228">
        <f>3*2200000</f>
        <v>6600000</v>
      </c>
      <c r="J24" s="224">
        <f>1800000*3</f>
        <v>5400000</v>
      </c>
      <c r="K24" s="358">
        <f t="shared" si="15"/>
        <v>23400000</v>
      </c>
      <c r="L24" s="216">
        <f t="shared" si="16"/>
        <v>20500000</v>
      </c>
      <c r="M24" s="173">
        <v>15500000</v>
      </c>
      <c r="N24" s="213">
        <v>1</v>
      </c>
      <c r="O24" s="213">
        <f t="shared" si="21"/>
        <v>6200000</v>
      </c>
      <c r="P24" s="217"/>
      <c r="Q24" s="218">
        <f t="shared" si="22"/>
        <v>0</v>
      </c>
      <c r="R24" s="219">
        <f t="shared" si="23"/>
        <v>0</v>
      </c>
      <c r="S24" s="218">
        <f t="shared" si="24"/>
        <v>0</v>
      </c>
      <c r="T24" s="220">
        <f t="shared" si="17"/>
        <v>0</v>
      </c>
      <c r="U24" s="225">
        <f t="shared" si="25"/>
        <v>0</v>
      </c>
      <c r="V24" s="225">
        <f t="shared" si="26"/>
        <v>0</v>
      </c>
      <c r="W24" s="225">
        <f t="shared" si="27"/>
        <v>0</v>
      </c>
      <c r="X24" s="226">
        <f t="shared" si="28"/>
        <v>0</v>
      </c>
      <c r="Y24" s="226">
        <f t="shared" si="18"/>
        <v>-1200000</v>
      </c>
      <c r="Z24" s="226"/>
      <c r="AA24" s="337">
        <f t="shared" si="19"/>
        <v>23400000</v>
      </c>
      <c r="AB24" s="32"/>
    </row>
    <row r="25" spans="1:30" ht="20.100000000000001" customHeight="1" x14ac:dyDescent="0.25">
      <c r="A25" s="210">
        <v>15</v>
      </c>
      <c r="B25" s="31" t="s">
        <v>68</v>
      </c>
      <c r="C25" s="229" t="s">
        <v>37</v>
      </c>
      <c r="D25" s="222">
        <v>5000000</v>
      </c>
      <c r="E25" s="213"/>
      <c r="F25" s="224">
        <v>2500000</v>
      </c>
      <c r="G25" s="10">
        <v>400000</v>
      </c>
      <c r="H25" s="235">
        <v>2500000</v>
      </c>
      <c r="I25" s="224">
        <f t="shared" ref="I25:I30" si="34">3*1500000</f>
        <v>4500000</v>
      </c>
      <c r="J25" s="224">
        <f>1000000*3</f>
        <v>3000000</v>
      </c>
      <c r="K25" s="358">
        <f t="shared" si="15"/>
        <v>17900000</v>
      </c>
      <c r="L25" s="216">
        <f t="shared" si="16"/>
        <v>15000000</v>
      </c>
      <c r="M25" s="173">
        <v>15500000</v>
      </c>
      <c r="N25" s="230">
        <v>1</v>
      </c>
      <c r="O25" s="213">
        <f t="shared" si="21"/>
        <v>6200000</v>
      </c>
      <c r="P25" s="217">
        <f>D25</f>
        <v>5000000</v>
      </c>
      <c r="Q25" s="232">
        <f t="shared" si="22"/>
        <v>875000</v>
      </c>
      <c r="R25" s="233">
        <f t="shared" si="23"/>
        <v>150000</v>
      </c>
      <c r="S25" s="234">
        <f t="shared" si="24"/>
        <v>50000</v>
      </c>
      <c r="T25" s="231">
        <f t="shared" si="17"/>
        <v>1075000</v>
      </c>
      <c r="U25" s="234">
        <f t="shared" si="25"/>
        <v>400000</v>
      </c>
      <c r="V25" s="234">
        <f t="shared" si="26"/>
        <v>75000</v>
      </c>
      <c r="W25" s="234">
        <f t="shared" si="27"/>
        <v>50000</v>
      </c>
      <c r="X25" s="231">
        <f t="shared" si="28"/>
        <v>525000</v>
      </c>
      <c r="Y25" s="231">
        <f t="shared" si="18"/>
        <v>-7225000</v>
      </c>
      <c r="Z25" s="231"/>
      <c r="AA25" s="337">
        <f t="shared" si="19"/>
        <v>17375000</v>
      </c>
      <c r="AB25" s="32">
        <f>X25-'[4]15'!$F$11</f>
        <v>0</v>
      </c>
    </row>
    <row r="26" spans="1:30" s="105" customFormat="1" ht="20.100000000000001" customHeight="1" x14ac:dyDescent="0.25">
      <c r="A26" s="93">
        <v>16</v>
      </c>
      <c r="B26" s="44" t="s">
        <v>102</v>
      </c>
      <c r="C26" s="41" t="s">
        <v>37</v>
      </c>
      <c r="D26" s="222">
        <v>5000000</v>
      </c>
      <c r="E26" s="17"/>
      <c r="F26" s="10">
        <v>2500000</v>
      </c>
      <c r="G26" s="10">
        <v>400000</v>
      </c>
      <c r="H26" s="56">
        <v>2500000</v>
      </c>
      <c r="I26" s="224">
        <f t="shared" si="34"/>
        <v>4500000</v>
      </c>
      <c r="J26" s="224">
        <f>1000000*3</f>
        <v>3000000</v>
      </c>
      <c r="K26" s="358">
        <f t="shared" si="15"/>
        <v>17900000</v>
      </c>
      <c r="L26" s="98">
        <f t="shared" si="16"/>
        <v>15000000</v>
      </c>
      <c r="M26" s="173">
        <v>15500000</v>
      </c>
      <c r="N26" s="59">
        <v>1</v>
      </c>
      <c r="O26" s="213">
        <f t="shared" si="21"/>
        <v>6200000</v>
      </c>
      <c r="P26" s="217"/>
      <c r="Q26" s="125">
        <f t="shared" si="22"/>
        <v>0</v>
      </c>
      <c r="R26" s="16">
        <f t="shared" si="23"/>
        <v>0</v>
      </c>
      <c r="S26" s="125">
        <f t="shared" si="24"/>
        <v>0</v>
      </c>
      <c r="T26" s="144">
        <f t="shared" si="17"/>
        <v>0</v>
      </c>
      <c r="U26" s="125">
        <f t="shared" si="25"/>
        <v>0</v>
      </c>
      <c r="V26" s="125">
        <f t="shared" si="26"/>
        <v>0</v>
      </c>
      <c r="W26" s="125">
        <f t="shared" si="27"/>
        <v>0</v>
      </c>
      <c r="X26" s="144">
        <f t="shared" si="28"/>
        <v>0</v>
      </c>
      <c r="Y26" s="220">
        <f t="shared" si="18"/>
        <v>-6700000</v>
      </c>
      <c r="Z26" s="144"/>
      <c r="AA26" s="337">
        <f t="shared" si="19"/>
        <v>17900000</v>
      </c>
      <c r="AB26" s="32"/>
    </row>
    <row r="27" spans="1:30" ht="20.100000000000001" customHeight="1" x14ac:dyDescent="0.25">
      <c r="A27" s="210">
        <v>17</v>
      </c>
      <c r="B27" s="117" t="s">
        <v>2</v>
      </c>
      <c r="C27" s="212" t="s">
        <v>37</v>
      </c>
      <c r="D27" s="222">
        <v>5000000</v>
      </c>
      <c r="E27" s="17"/>
      <c r="F27" s="10">
        <v>2500000</v>
      </c>
      <c r="G27" s="10">
        <v>400000</v>
      </c>
      <c r="H27" s="56">
        <v>2500000</v>
      </c>
      <c r="I27" s="224">
        <f t="shared" si="34"/>
        <v>4500000</v>
      </c>
      <c r="J27" s="224">
        <f>1000000*3</f>
        <v>3000000</v>
      </c>
      <c r="K27" s="361">
        <f t="shared" si="15"/>
        <v>17900000</v>
      </c>
      <c r="L27" s="216">
        <f t="shared" si="16"/>
        <v>15000000</v>
      </c>
      <c r="M27" s="173">
        <v>15500000</v>
      </c>
      <c r="N27" s="230"/>
      <c r="O27" s="230"/>
      <c r="P27" s="290">
        <f>D27</f>
        <v>5000000</v>
      </c>
      <c r="Q27" s="218">
        <f t="shared" si="22"/>
        <v>875000</v>
      </c>
      <c r="R27" s="219">
        <f t="shared" si="23"/>
        <v>150000</v>
      </c>
      <c r="S27" s="218">
        <f t="shared" si="24"/>
        <v>50000</v>
      </c>
      <c r="T27" s="220">
        <f t="shared" si="17"/>
        <v>1075000</v>
      </c>
      <c r="U27" s="218">
        <f>P27*8%</f>
        <v>400000</v>
      </c>
      <c r="V27" s="218">
        <f>P27*1.5%</f>
        <v>75000</v>
      </c>
      <c r="W27" s="218">
        <f>P27*1%</f>
        <v>50000</v>
      </c>
      <c r="X27" s="220">
        <f>SUM(U27:W27)</f>
        <v>525000</v>
      </c>
      <c r="Y27" s="220">
        <f t="shared" si="18"/>
        <v>-1025000</v>
      </c>
      <c r="Z27" s="220"/>
      <c r="AA27" s="337">
        <f t="shared" si="19"/>
        <v>17375000</v>
      </c>
      <c r="AB27" s="32"/>
      <c r="AC27" s="3"/>
    </row>
    <row r="28" spans="1:30" s="91" customFormat="1" ht="20.100000000000001" customHeight="1" x14ac:dyDescent="0.25">
      <c r="A28" s="93">
        <v>18</v>
      </c>
      <c r="B28" s="44" t="s">
        <v>88</v>
      </c>
      <c r="C28" s="268" t="s">
        <v>37</v>
      </c>
      <c r="D28" s="296">
        <v>5000000</v>
      </c>
      <c r="E28" s="198"/>
      <c r="F28" s="100">
        <v>2500000</v>
      </c>
      <c r="G28" s="100">
        <v>400000</v>
      </c>
      <c r="H28" s="197">
        <v>2500000</v>
      </c>
      <c r="I28" s="228">
        <f t="shared" si="34"/>
        <v>4500000</v>
      </c>
      <c r="J28" s="228">
        <f>1000000*3</f>
        <v>3000000</v>
      </c>
      <c r="K28" s="359">
        <f t="shared" si="15"/>
        <v>17900000</v>
      </c>
      <c r="L28" s="297">
        <f t="shared" si="16"/>
        <v>15000000</v>
      </c>
      <c r="M28" s="173">
        <v>15500000</v>
      </c>
      <c r="N28" s="278"/>
      <c r="O28" s="278"/>
      <c r="P28" s="220">
        <f>D28</f>
        <v>5000000</v>
      </c>
      <c r="Q28" s="218">
        <f t="shared" si="22"/>
        <v>875000</v>
      </c>
      <c r="R28" s="219">
        <f t="shared" si="23"/>
        <v>150000</v>
      </c>
      <c r="S28" s="218">
        <f t="shared" si="24"/>
        <v>50000</v>
      </c>
      <c r="T28" s="220">
        <f t="shared" si="17"/>
        <v>1075000</v>
      </c>
      <c r="U28" s="218">
        <f>P28*8%</f>
        <v>400000</v>
      </c>
      <c r="V28" s="218">
        <f>P28*1.5%</f>
        <v>75000</v>
      </c>
      <c r="W28" s="218">
        <f>P28*1%</f>
        <v>50000</v>
      </c>
      <c r="X28" s="220">
        <f>SUM(U28:W28)</f>
        <v>525000</v>
      </c>
      <c r="Y28" s="220">
        <f t="shared" si="18"/>
        <v>-1025000</v>
      </c>
      <c r="Z28" s="220"/>
      <c r="AA28" s="337">
        <f t="shared" si="19"/>
        <v>17375000</v>
      </c>
      <c r="AB28" s="90"/>
      <c r="AC28" s="298"/>
    </row>
    <row r="29" spans="1:30" s="91" customFormat="1" ht="20.100000000000001" customHeight="1" x14ac:dyDescent="0.25">
      <c r="A29" s="210">
        <v>19</v>
      </c>
      <c r="B29" s="44" t="s">
        <v>121</v>
      </c>
      <c r="C29" s="268" t="s">
        <v>152</v>
      </c>
      <c r="D29" s="46">
        <v>5000000</v>
      </c>
      <c r="E29" s="17"/>
      <c r="F29" s="110">
        <v>2500000</v>
      </c>
      <c r="G29" s="10">
        <v>400000</v>
      </c>
      <c r="H29" s="56">
        <v>2500000</v>
      </c>
      <c r="I29" s="228">
        <f t="shared" si="34"/>
        <v>4500000</v>
      </c>
      <c r="J29" s="228">
        <f>1000000*3+100000</f>
        <v>3100000</v>
      </c>
      <c r="K29" s="350">
        <f t="shared" ref="K29" si="35">SUM(D29:J29)</f>
        <v>18000000</v>
      </c>
      <c r="L29" s="70">
        <f t="shared" si="16"/>
        <v>15100000</v>
      </c>
      <c r="M29" s="58">
        <v>15500000</v>
      </c>
      <c r="N29" s="100"/>
      <c r="O29" s="100">
        <f t="shared" ref="O29" si="36">N29*6200000</f>
        <v>0</v>
      </c>
      <c r="P29" s="94">
        <v>5000000</v>
      </c>
      <c r="Q29" s="128">
        <f t="shared" si="22"/>
        <v>875000</v>
      </c>
      <c r="R29" s="112">
        <f t="shared" si="23"/>
        <v>150000</v>
      </c>
      <c r="S29" s="125">
        <f t="shared" si="24"/>
        <v>50000</v>
      </c>
      <c r="T29" s="144">
        <f t="shared" si="17"/>
        <v>1075000</v>
      </c>
      <c r="U29" s="125">
        <f t="shared" ref="U29" si="37">P29*8%</f>
        <v>400000</v>
      </c>
      <c r="V29" s="125">
        <f t="shared" ref="V29" si="38">P29*1.5%</f>
        <v>75000</v>
      </c>
      <c r="W29" s="125">
        <f t="shared" ref="W29" si="39">P29*1%</f>
        <v>50000</v>
      </c>
      <c r="X29" s="144">
        <f t="shared" ref="X29" si="40">SUM(U29:W29)</f>
        <v>525000</v>
      </c>
      <c r="Y29" s="220">
        <f t="shared" si="18"/>
        <v>-925000</v>
      </c>
      <c r="Z29" s="145"/>
      <c r="AA29" s="337">
        <f t="shared" si="19"/>
        <v>17475000</v>
      </c>
      <c r="AB29" s="90"/>
    </row>
    <row r="30" spans="1:30" ht="20.100000000000001" customHeight="1" x14ac:dyDescent="0.25">
      <c r="A30" s="93">
        <v>20</v>
      </c>
      <c r="B30" s="162" t="s">
        <v>101</v>
      </c>
      <c r="C30" s="229" t="s">
        <v>95</v>
      </c>
      <c r="D30" s="222">
        <v>5000000</v>
      </c>
      <c r="E30" s="213"/>
      <c r="F30" s="236">
        <v>2500000</v>
      </c>
      <c r="G30" s="21">
        <v>400000</v>
      </c>
      <c r="H30" s="280">
        <v>2500000</v>
      </c>
      <c r="I30" s="224">
        <f t="shared" si="34"/>
        <v>4500000</v>
      </c>
      <c r="J30" s="224">
        <f>1000000*3</f>
        <v>3000000</v>
      </c>
      <c r="K30" s="360">
        <f t="shared" si="15"/>
        <v>17900000</v>
      </c>
      <c r="L30" s="216">
        <f t="shared" si="16"/>
        <v>15000000</v>
      </c>
      <c r="M30" s="173">
        <v>15500000</v>
      </c>
      <c r="N30" s="230"/>
      <c r="O30" s="230"/>
      <c r="P30" s="291"/>
      <c r="Q30" s="315">
        <f t="shared" si="22"/>
        <v>0</v>
      </c>
      <c r="R30" s="316">
        <f t="shared" si="23"/>
        <v>0</v>
      </c>
      <c r="S30" s="234">
        <f t="shared" si="24"/>
        <v>0</v>
      </c>
      <c r="T30" s="231">
        <f t="shared" si="17"/>
        <v>0</v>
      </c>
      <c r="U30" s="234">
        <f>P30*8%</f>
        <v>0</v>
      </c>
      <c r="V30" s="234">
        <f>P30*1.5%</f>
        <v>0</v>
      </c>
      <c r="W30" s="234">
        <f>P30*1%</f>
        <v>0</v>
      </c>
      <c r="X30" s="231">
        <f>SUM(U30:W30)</f>
        <v>0</v>
      </c>
      <c r="Y30" s="226">
        <f t="shared" si="18"/>
        <v>-500000</v>
      </c>
      <c r="Z30" s="231"/>
      <c r="AA30" s="337">
        <f t="shared" si="19"/>
        <v>17900000</v>
      </c>
      <c r="AB30" s="32"/>
      <c r="AC30" s="3"/>
    </row>
    <row r="31" spans="1:30" s="28" customFormat="1" ht="20.100000000000001" customHeight="1" x14ac:dyDescent="0.25">
      <c r="A31" s="34"/>
      <c r="B31" s="42" t="s">
        <v>22</v>
      </c>
      <c r="C31" s="35"/>
      <c r="D31" s="12">
        <f t="shared" ref="D31:M31" si="41">SUM(D19:D30)</f>
        <v>72700000</v>
      </c>
      <c r="E31" s="12">
        <f t="shared" si="41"/>
        <v>0</v>
      </c>
      <c r="F31" s="12">
        <f t="shared" si="41"/>
        <v>30000000</v>
      </c>
      <c r="G31" s="12">
        <f t="shared" si="41"/>
        <v>4800000</v>
      </c>
      <c r="H31" s="12">
        <f t="shared" si="41"/>
        <v>30000000</v>
      </c>
      <c r="I31" s="12">
        <f t="shared" si="41"/>
        <v>73200000</v>
      </c>
      <c r="J31" s="12">
        <f t="shared" si="41"/>
        <v>55900000</v>
      </c>
      <c r="K31" s="129">
        <f t="shared" si="41"/>
        <v>266600000</v>
      </c>
      <c r="L31" s="12">
        <f t="shared" si="41"/>
        <v>231800000</v>
      </c>
      <c r="M31" s="12">
        <f t="shared" si="41"/>
        <v>186000000</v>
      </c>
      <c r="N31" s="12"/>
      <c r="O31" s="12"/>
      <c r="P31" s="12">
        <f t="shared" ref="P31:X31" si="42">SUM(P19:P30)</f>
        <v>56700000</v>
      </c>
      <c r="Q31" s="12">
        <f t="shared" si="42"/>
        <v>9922500</v>
      </c>
      <c r="R31" s="12">
        <f t="shared" si="42"/>
        <v>1701000</v>
      </c>
      <c r="S31" s="12">
        <f t="shared" si="42"/>
        <v>567000</v>
      </c>
      <c r="T31" s="12">
        <f t="shared" si="42"/>
        <v>12190500</v>
      </c>
      <c r="U31" s="12">
        <f t="shared" si="42"/>
        <v>4536000</v>
      </c>
      <c r="V31" s="12">
        <f t="shared" si="42"/>
        <v>850500</v>
      </c>
      <c r="W31" s="12">
        <f t="shared" si="42"/>
        <v>567000</v>
      </c>
      <c r="X31" s="12">
        <f t="shared" si="42"/>
        <v>5953500</v>
      </c>
      <c r="Y31" s="12"/>
      <c r="Z31" s="12">
        <f>SUM(Z19:Z30)</f>
        <v>697225</v>
      </c>
      <c r="AA31" s="12">
        <f>SUM(AA19:AA30)</f>
        <v>259949275</v>
      </c>
      <c r="AB31" s="32">
        <f>AA31-'[2]Danh sach'!$I$17</f>
        <v>55627942</v>
      </c>
      <c r="AC31" s="106">
        <f>X31-X27</f>
        <v>5428500</v>
      </c>
      <c r="AD31" s="106">
        <f>AC31-'[4]15'!$F$23</f>
        <v>342250</v>
      </c>
    </row>
    <row r="32" spans="1:30" s="28" customFormat="1" ht="20.100000000000001" customHeight="1" x14ac:dyDescent="0.25">
      <c r="A32" s="37" t="s">
        <v>24</v>
      </c>
      <c r="B32" s="38" t="s">
        <v>38</v>
      </c>
      <c r="C32" s="43"/>
      <c r="D32" s="18"/>
      <c r="E32" s="18"/>
      <c r="F32" s="18"/>
      <c r="G32" s="241"/>
      <c r="H32" s="18"/>
      <c r="I32" s="18"/>
      <c r="J32" s="247" t="s">
        <v>113</v>
      </c>
      <c r="K32" s="242"/>
      <c r="L32" s="71">
        <f>K31-F31-G31</f>
        <v>231800000</v>
      </c>
      <c r="M32" s="175"/>
      <c r="N32" s="175"/>
      <c r="O32" s="175"/>
      <c r="P32" s="124"/>
      <c r="Q32" s="124"/>
      <c r="R32" s="14"/>
      <c r="S32" s="124"/>
      <c r="T32" s="124"/>
      <c r="U32" s="124"/>
      <c r="V32" s="124"/>
      <c r="W32" s="124"/>
      <c r="X32" s="124"/>
      <c r="Y32" s="124"/>
      <c r="Z32" s="124"/>
      <c r="AA32" s="366"/>
      <c r="AB32" s="32"/>
      <c r="AC32" s="106"/>
    </row>
    <row r="33" spans="1:29" s="91" customFormat="1" ht="20.100000000000001" customHeight="1" x14ac:dyDescent="0.25">
      <c r="A33" s="102">
        <v>21</v>
      </c>
      <c r="B33" s="44" t="s">
        <v>60</v>
      </c>
      <c r="C33" s="193" t="s">
        <v>54</v>
      </c>
      <c r="D33" s="194">
        <v>10500000</v>
      </c>
      <c r="E33" s="339"/>
      <c r="F33" s="195">
        <v>2500000</v>
      </c>
      <c r="G33" s="195">
        <v>400000</v>
      </c>
      <c r="H33" s="196">
        <v>2500000</v>
      </c>
      <c r="I33" s="99">
        <f>2*3500000</f>
        <v>7000000</v>
      </c>
      <c r="J33" s="103">
        <f>2*3000000</f>
        <v>6000000</v>
      </c>
      <c r="K33" s="348">
        <f t="shared" ref="K33:K45" si="43">SUM(D33:J33)</f>
        <v>28900000</v>
      </c>
      <c r="L33" s="340">
        <f t="shared" ref="L33:L45" si="44">K33-E33-F33-G33</f>
        <v>26000000</v>
      </c>
      <c r="M33" s="263">
        <v>15500000</v>
      </c>
      <c r="N33" s="263">
        <v>2</v>
      </c>
      <c r="O33" s="263">
        <f>N33*6200000</f>
        <v>12400000</v>
      </c>
      <c r="P33" s="145">
        <f>D33</f>
        <v>10500000</v>
      </c>
      <c r="Q33" s="126">
        <f>P33*17.5%</f>
        <v>1837499.9999999998</v>
      </c>
      <c r="R33" s="15">
        <f>P33*3%</f>
        <v>315000</v>
      </c>
      <c r="S33" s="126">
        <f>P33*1%</f>
        <v>105000</v>
      </c>
      <c r="T33" s="145">
        <f t="shared" ref="T33:T45" si="45">SUM(Q33:S33)</f>
        <v>2257500</v>
      </c>
      <c r="U33" s="126">
        <f>P33*8%</f>
        <v>840000</v>
      </c>
      <c r="V33" s="126">
        <f>P33*1.5%</f>
        <v>157500</v>
      </c>
      <c r="W33" s="126">
        <f>P33*1%</f>
        <v>105000</v>
      </c>
      <c r="X33" s="145">
        <f>SUM(U33:W33)</f>
        <v>1102500</v>
      </c>
      <c r="Y33" s="145">
        <f t="shared" ref="Y33:Y45" si="46">L33-M33-O33-X33</f>
        <v>-3002500</v>
      </c>
      <c r="Z33" s="145"/>
      <c r="AA33" s="337">
        <f t="shared" ref="AA33:AA45" si="47">K33-X33-Z33</f>
        <v>27797500</v>
      </c>
      <c r="AB33" s="90"/>
      <c r="AC33" s="166"/>
    </row>
    <row r="34" spans="1:29" s="91" customFormat="1" ht="20.100000000000001" customHeight="1" x14ac:dyDescent="0.25">
      <c r="A34" s="102">
        <v>22</v>
      </c>
      <c r="B34" s="44" t="s">
        <v>59</v>
      </c>
      <c r="C34" s="108" t="s">
        <v>145</v>
      </c>
      <c r="D34" s="100">
        <v>7600000</v>
      </c>
      <c r="E34" s="198"/>
      <c r="F34" s="100">
        <v>2500000</v>
      </c>
      <c r="G34" s="192">
        <v>400000</v>
      </c>
      <c r="H34" s="197">
        <v>2500000</v>
      </c>
      <c r="I34" s="100">
        <f>2*2500000</f>
        <v>5000000</v>
      </c>
      <c r="J34" s="100">
        <f>2*2000000</f>
        <v>4000000</v>
      </c>
      <c r="K34" s="349">
        <f t="shared" si="43"/>
        <v>22000000</v>
      </c>
      <c r="L34" s="281">
        <f t="shared" si="44"/>
        <v>19100000</v>
      </c>
      <c r="M34" s="263">
        <v>15500000</v>
      </c>
      <c r="N34" s="263">
        <v>2</v>
      </c>
      <c r="O34" s="263">
        <f>N34*6200000</f>
        <v>12400000</v>
      </c>
      <c r="P34" s="145">
        <f>D34</f>
        <v>7600000</v>
      </c>
      <c r="Q34" s="126">
        <f>P34*17.5%</f>
        <v>1330000</v>
      </c>
      <c r="R34" s="15">
        <f t="shared" ref="R34:R43" si="48">P34*3%</f>
        <v>228000</v>
      </c>
      <c r="S34" s="126">
        <f t="shared" ref="S34:S43" si="49">P34*1%</f>
        <v>76000</v>
      </c>
      <c r="T34" s="145">
        <f t="shared" si="45"/>
        <v>1634000</v>
      </c>
      <c r="U34" s="126">
        <f t="shared" ref="U34:U43" si="50">P34*8%</f>
        <v>608000</v>
      </c>
      <c r="V34" s="126">
        <f t="shared" ref="V34:V43" si="51">P34*1.5%</f>
        <v>114000</v>
      </c>
      <c r="W34" s="126">
        <f t="shared" ref="W34:W43" si="52">P34*1%</f>
        <v>76000</v>
      </c>
      <c r="X34" s="145">
        <f t="shared" ref="X34:X45" si="53">SUM(U34:W34)</f>
        <v>798000</v>
      </c>
      <c r="Y34" s="145">
        <f t="shared" si="46"/>
        <v>-9598000</v>
      </c>
      <c r="Z34" s="145"/>
      <c r="AA34" s="337">
        <f t="shared" si="47"/>
        <v>21202000</v>
      </c>
      <c r="AB34" s="90"/>
    </row>
    <row r="35" spans="1:29" s="91" customFormat="1" ht="20.100000000000001" customHeight="1" x14ac:dyDescent="0.25">
      <c r="A35" s="102">
        <v>23</v>
      </c>
      <c r="B35" s="44" t="s">
        <v>146</v>
      </c>
      <c r="C35" s="108" t="s">
        <v>147</v>
      </c>
      <c r="D35" s="100">
        <v>6000000</v>
      </c>
      <c r="E35" s="198"/>
      <c r="F35" s="100">
        <v>2500000</v>
      </c>
      <c r="G35" s="192">
        <v>400000</v>
      </c>
      <c r="H35" s="197">
        <v>2500000</v>
      </c>
      <c r="I35" s="10">
        <f>2*2500000</f>
        <v>5000000</v>
      </c>
      <c r="J35" s="10">
        <f>2*2000000</f>
        <v>4000000</v>
      </c>
      <c r="K35" s="349">
        <f t="shared" si="43"/>
        <v>20400000</v>
      </c>
      <c r="L35" s="281">
        <f t="shared" si="44"/>
        <v>17500000</v>
      </c>
      <c r="M35" s="263">
        <v>15500000</v>
      </c>
      <c r="N35" s="263"/>
      <c r="O35" s="263"/>
      <c r="P35" s="145">
        <v>6000000</v>
      </c>
      <c r="Q35" s="126">
        <f>P35*17.5%</f>
        <v>1050000</v>
      </c>
      <c r="R35" s="15">
        <f t="shared" si="48"/>
        <v>180000</v>
      </c>
      <c r="S35" s="126">
        <f t="shared" si="49"/>
        <v>60000</v>
      </c>
      <c r="T35" s="145">
        <f t="shared" si="45"/>
        <v>1290000</v>
      </c>
      <c r="U35" s="126">
        <f t="shared" si="50"/>
        <v>480000</v>
      </c>
      <c r="V35" s="126">
        <f t="shared" si="51"/>
        <v>90000</v>
      </c>
      <c r="W35" s="126">
        <f t="shared" si="52"/>
        <v>60000</v>
      </c>
      <c r="X35" s="145">
        <f t="shared" si="53"/>
        <v>630000</v>
      </c>
      <c r="Y35" s="145">
        <f t="shared" si="46"/>
        <v>1370000</v>
      </c>
      <c r="Z35" s="145">
        <f>Y35*5%</f>
        <v>68500</v>
      </c>
      <c r="AA35" s="337">
        <f t="shared" si="47"/>
        <v>19701500</v>
      </c>
      <c r="AB35" s="90"/>
    </row>
    <row r="36" spans="1:29" s="91" customFormat="1" ht="20.100000000000001" customHeight="1" x14ac:dyDescent="0.25">
      <c r="A36" s="102">
        <v>24</v>
      </c>
      <c r="B36" s="44" t="s">
        <v>50</v>
      </c>
      <c r="C36" s="108" t="s">
        <v>92</v>
      </c>
      <c r="D36" s="100">
        <v>7600000</v>
      </c>
      <c r="E36" s="198"/>
      <c r="F36" s="100">
        <v>2500000</v>
      </c>
      <c r="G36" s="100">
        <v>400000</v>
      </c>
      <c r="H36" s="197">
        <v>2500000</v>
      </c>
      <c r="I36" s="100">
        <f>2*2800000</f>
        <v>5600000</v>
      </c>
      <c r="J36" s="100">
        <f>2*2300000</f>
        <v>4600000</v>
      </c>
      <c r="K36" s="350">
        <f t="shared" si="43"/>
        <v>23200000</v>
      </c>
      <c r="L36" s="281">
        <f t="shared" si="44"/>
        <v>20300000</v>
      </c>
      <c r="M36" s="263">
        <v>15500000</v>
      </c>
      <c r="N36" s="263">
        <v>1</v>
      </c>
      <c r="O36" s="263">
        <f t="shared" ref="O36:O44" si="54">N36*6200000</f>
        <v>6200000</v>
      </c>
      <c r="P36" s="145">
        <f t="shared" ref="P36:P43" si="55">D36</f>
        <v>7600000</v>
      </c>
      <c r="Q36" s="125">
        <f t="shared" ref="Q36:Q43" si="56">P36*17.5%</f>
        <v>1330000</v>
      </c>
      <c r="R36" s="16">
        <f t="shared" si="48"/>
        <v>228000</v>
      </c>
      <c r="S36" s="126">
        <f t="shared" si="49"/>
        <v>76000</v>
      </c>
      <c r="T36" s="144">
        <f t="shared" si="45"/>
        <v>1634000</v>
      </c>
      <c r="U36" s="126">
        <f t="shared" si="50"/>
        <v>608000</v>
      </c>
      <c r="V36" s="126">
        <f t="shared" si="51"/>
        <v>114000</v>
      </c>
      <c r="W36" s="126">
        <f t="shared" si="52"/>
        <v>76000</v>
      </c>
      <c r="X36" s="145">
        <f t="shared" si="53"/>
        <v>798000</v>
      </c>
      <c r="Y36" s="145">
        <f t="shared" si="46"/>
        <v>-2198000</v>
      </c>
      <c r="Z36" s="145"/>
      <c r="AA36" s="337">
        <f t="shared" si="47"/>
        <v>22402000</v>
      </c>
      <c r="AB36" s="90"/>
    </row>
    <row r="37" spans="1:29" ht="20.100000000000001" customHeight="1" x14ac:dyDescent="0.25">
      <c r="A37" s="102">
        <v>25</v>
      </c>
      <c r="B37" s="44" t="s">
        <v>43</v>
      </c>
      <c r="C37" s="41" t="s">
        <v>124</v>
      </c>
      <c r="D37" s="17">
        <v>6000000</v>
      </c>
      <c r="E37" s="17"/>
      <c r="F37" s="10">
        <v>2500000</v>
      </c>
      <c r="G37" s="10">
        <v>400000</v>
      </c>
      <c r="H37" s="56">
        <v>2500000</v>
      </c>
      <c r="I37" s="100">
        <f>2*2500000</f>
        <v>5000000</v>
      </c>
      <c r="J37" s="10">
        <f>2*2200000</f>
        <v>4400000</v>
      </c>
      <c r="K37" s="351">
        <f t="shared" si="43"/>
        <v>20800000</v>
      </c>
      <c r="L37" s="70">
        <f t="shared" si="44"/>
        <v>17900000</v>
      </c>
      <c r="M37" s="58">
        <v>15500000</v>
      </c>
      <c r="N37" s="58">
        <v>1</v>
      </c>
      <c r="O37" s="58">
        <f t="shared" si="54"/>
        <v>6200000</v>
      </c>
      <c r="P37" s="145">
        <f t="shared" si="55"/>
        <v>6000000</v>
      </c>
      <c r="Q37" s="125">
        <f t="shared" si="56"/>
        <v>1050000</v>
      </c>
      <c r="R37" s="16">
        <f t="shared" si="48"/>
        <v>180000</v>
      </c>
      <c r="S37" s="125">
        <f t="shared" si="49"/>
        <v>60000</v>
      </c>
      <c r="T37" s="144">
        <f t="shared" si="45"/>
        <v>1290000</v>
      </c>
      <c r="U37" s="126">
        <f t="shared" si="50"/>
        <v>480000</v>
      </c>
      <c r="V37" s="126">
        <f t="shared" si="51"/>
        <v>90000</v>
      </c>
      <c r="W37" s="126">
        <f t="shared" si="52"/>
        <v>60000</v>
      </c>
      <c r="X37" s="145">
        <f t="shared" si="53"/>
        <v>630000</v>
      </c>
      <c r="Y37" s="145">
        <f t="shared" si="46"/>
        <v>-4430000</v>
      </c>
      <c r="Z37" s="145"/>
      <c r="AA37" s="337">
        <f t="shared" si="47"/>
        <v>20170000</v>
      </c>
      <c r="AB37" s="32"/>
    </row>
    <row r="38" spans="1:29" ht="20.100000000000001" customHeight="1" x14ac:dyDescent="0.25">
      <c r="A38" s="102">
        <v>26</v>
      </c>
      <c r="B38" s="116" t="s">
        <v>76</v>
      </c>
      <c r="C38" s="41" t="s">
        <v>125</v>
      </c>
      <c r="D38" s="46">
        <f>D37</f>
        <v>6000000</v>
      </c>
      <c r="E38" s="17"/>
      <c r="F38" s="110">
        <v>2500000</v>
      </c>
      <c r="G38" s="10">
        <v>400000</v>
      </c>
      <c r="H38" s="56">
        <v>2500000</v>
      </c>
      <c r="I38" s="100">
        <f>2*2200000</f>
        <v>4400000</v>
      </c>
      <c r="J38" s="10">
        <f>2*1800000</f>
        <v>3600000</v>
      </c>
      <c r="K38" s="351">
        <f t="shared" si="43"/>
        <v>19400000</v>
      </c>
      <c r="L38" s="70">
        <f t="shared" si="44"/>
        <v>16500000</v>
      </c>
      <c r="M38" s="58">
        <v>15500000</v>
      </c>
      <c r="N38" s="56">
        <v>1</v>
      </c>
      <c r="O38" s="58">
        <f t="shared" si="54"/>
        <v>6200000</v>
      </c>
      <c r="P38" s="145">
        <f t="shared" si="55"/>
        <v>6000000</v>
      </c>
      <c r="Q38" s="128">
        <f t="shared" si="56"/>
        <v>1050000</v>
      </c>
      <c r="R38" s="112">
        <f t="shared" si="48"/>
        <v>180000</v>
      </c>
      <c r="S38" s="125">
        <f t="shared" si="49"/>
        <v>60000</v>
      </c>
      <c r="T38" s="144">
        <f t="shared" si="45"/>
        <v>1290000</v>
      </c>
      <c r="U38" s="125">
        <f t="shared" si="50"/>
        <v>480000</v>
      </c>
      <c r="V38" s="125">
        <f t="shared" si="51"/>
        <v>90000</v>
      </c>
      <c r="W38" s="125">
        <f t="shared" si="52"/>
        <v>60000</v>
      </c>
      <c r="X38" s="144">
        <f t="shared" si="53"/>
        <v>630000</v>
      </c>
      <c r="Y38" s="145">
        <f t="shared" si="46"/>
        <v>-5830000</v>
      </c>
      <c r="Z38" s="145"/>
      <c r="AA38" s="337">
        <f t="shared" si="47"/>
        <v>18770000</v>
      </c>
      <c r="AB38" s="32"/>
    </row>
    <row r="39" spans="1:29" s="206" customFormat="1" ht="20.100000000000001" customHeight="1" x14ac:dyDescent="0.25">
      <c r="A39" s="102">
        <v>27</v>
      </c>
      <c r="B39" s="44" t="s">
        <v>99</v>
      </c>
      <c r="C39" s="41" t="s">
        <v>37</v>
      </c>
      <c r="D39" s="199">
        <v>5000000</v>
      </c>
      <c r="E39" s="17"/>
      <c r="F39" s="110">
        <v>2500000</v>
      </c>
      <c r="G39" s="10">
        <v>400000</v>
      </c>
      <c r="H39" s="56">
        <v>2500000</v>
      </c>
      <c r="I39" s="224">
        <f t="shared" ref="I39:I44" si="57">2*1500000</f>
        <v>3000000</v>
      </c>
      <c r="J39" s="224">
        <f>1000000*2</f>
        <v>2000000</v>
      </c>
      <c r="K39" s="352">
        <f t="shared" ref="K39" si="58">SUM(D39:J39)</f>
        <v>15400000</v>
      </c>
      <c r="L39" s="70">
        <f t="shared" si="44"/>
        <v>12500000</v>
      </c>
      <c r="M39" s="173">
        <v>15500000</v>
      </c>
      <c r="N39" s="56">
        <v>1</v>
      </c>
      <c r="O39" s="213">
        <f t="shared" si="54"/>
        <v>6200000</v>
      </c>
      <c r="P39" s="217">
        <f t="shared" si="55"/>
        <v>5000000</v>
      </c>
      <c r="Q39" s="125">
        <f t="shared" si="56"/>
        <v>875000</v>
      </c>
      <c r="R39" s="16">
        <f t="shared" si="48"/>
        <v>150000</v>
      </c>
      <c r="S39" s="125">
        <f t="shared" si="49"/>
        <v>50000</v>
      </c>
      <c r="T39" s="144">
        <f t="shared" si="45"/>
        <v>1075000</v>
      </c>
      <c r="U39" s="125">
        <f t="shared" si="50"/>
        <v>400000</v>
      </c>
      <c r="V39" s="125">
        <f t="shared" si="51"/>
        <v>75000</v>
      </c>
      <c r="W39" s="125">
        <f t="shared" si="52"/>
        <v>50000</v>
      </c>
      <c r="X39" s="144">
        <f t="shared" si="53"/>
        <v>525000</v>
      </c>
      <c r="Y39" s="220">
        <f t="shared" si="46"/>
        <v>-9725000</v>
      </c>
      <c r="Z39" s="144"/>
      <c r="AA39" s="337">
        <f t="shared" si="47"/>
        <v>14875000</v>
      </c>
      <c r="AB39" s="32"/>
      <c r="AC39" s="205"/>
    </row>
    <row r="40" spans="1:29" ht="20.100000000000001" customHeight="1" x14ac:dyDescent="0.25">
      <c r="A40" s="102">
        <v>28</v>
      </c>
      <c r="B40" s="116" t="s">
        <v>79</v>
      </c>
      <c r="C40" s="111" t="s">
        <v>37</v>
      </c>
      <c r="D40" s="46">
        <v>5000000</v>
      </c>
      <c r="E40" s="17"/>
      <c r="F40" s="110">
        <v>2500000</v>
      </c>
      <c r="G40" s="10">
        <v>400000</v>
      </c>
      <c r="H40" s="56">
        <v>2500000</v>
      </c>
      <c r="I40" s="100">
        <f t="shared" si="57"/>
        <v>3000000</v>
      </c>
      <c r="J40" s="10">
        <f>1000000*2</f>
        <v>2000000</v>
      </c>
      <c r="K40" s="351">
        <f t="shared" si="43"/>
        <v>15400000</v>
      </c>
      <c r="L40" s="70">
        <f t="shared" si="44"/>
        <v>12500000</v>
      </c>
      <c r="M40" s="58">
        <v>15500000</v>
      </c>
      <c r="N40" s="184">
        <v>1</v>
      </c>
      <c r="O40" s="58">
        <f t="shared" si="54"/>
        <v>6200000</v>
      </c>
      <c r="P40" s="145">
        <f t="shared" si="55"/>
        <v>5000000</v>
      </c>
      <c r="Q40" s="128">
        <f t="shared" si="56"/>
        <v>875000</v>
      </c>
      <c r="R40" s="112">
        <f t="shared" si="48"/>
        <v>150000</v>
      </c>
      <c r="S40" s="125">
        <f t="shared" si="49"/>
        <v>50000</v>
      </c>
      <c r="T40" s="144">
        <f t="shared" si="45"/>
        <v>1075000</v>
      </c>
      <c r="U40" s="125">
        <f t="shared" si="50"/>
        <v>400000</v>
      </c>
      <c r="V40" s="125">
        <f t="shared" si="51"/>
        <v>75000</v>
      </c>
      <c r="W40" s="125">
        <f t="shared" si="52"/>
        <v>50000</v>
      </c>
      <c r="X40" s="144">
        <f t="shared" si="53"/>
        <v>525000</v>
      </c>
      <c r="Y40" s="145">
        <f t="shared" si="46"/>
        <v>-9725000</v>
      </c>
      <c r="Z40" s="145"/>
      <c r="AA40" s="337">
        <f t="shared" si="47"/>
        <v>14875000</v>
      </c>
      <c r="AB40" s="32"/>
    </row>
    <row r="41" spans="1:29" s="28" customFormat="1" ht="20.100000000000001" customHeight="1" x14ac:dyDescent="0.25">
      <c r="A41" s="102">
        <v>29</v>
      </c>
      <c r="B41" s="116" t="s">
        <v>69</v>
      </c>
      <c r="C41" s="41" t="s">
        <v>37</v>
      </c>
      <c r="D41" s="17">
        <v>5000000</v>
      </c>
      <c r="E41" s="17"/>
      <c r="F41" s="10">
        <v>2500000</v>
      </c>
      <c r="G41" s="10">
        <v>400000</v>
      </c>
      <c r="H41" s="56">
        <v>2500000</v>
      </c>
      <c r="I41" s="100">
        <f t="shared" si="57"/>
        <v>3000000</v>
      </c>
      <c r="J41" s="10">
        <f>1000000*2</f>
        <v>2000000</v>
      </c>
      <c r="K41" s="351">
        <f t="shared" si="43"/>
        <v>15400000</v>
      </c>
      <c r="L41" s="70">
        <f t="shared" si="44"/>
        <v>12500000</v>
      </c>
      <c r="M41" s="58">
        <v>15500000</v>
      </c>
      <c r="N41" s="56"/>
      <c r="O41" s="58">
        <f t="shared" si="54"/>
        <v>0</v>
      </c>
      <c r="P41" s="145">
        <f t="shared" si="55"/>
        <v>5000000</v>
      </c>
      <c r="Q41" s="128">
        <f t="shared" si="56"/>
        <v>875000</v>
      </c>
      <c r="R41" s="112">
        <f t="shared" si="48"/>
        <v>150000</v>
      </c>
      <c r="S41" s="125">
        <f t="shared" si="49"/>
        <v>50000</v>
      </c>
      <c r="T41" s="144">
        <f t="shared" si="45"/>
        <v>1075000</v>
      </c>
      <c r="U41" s="125">
        <f t="shared" si="50"/>
        <v>400000</v>
      </c>
      <c r="V41" s="125">
        <f t="shared" si="51"/>
        <v>75000</v>
      </c>
      <c r="W41" s="125">
        <f t="shared" si="52"/>
        <v>50000</v>
      </c>
      <c r="X41" s="144">
        <f t="shared" si="53"/>
        <v>525000</v>
      </c>
      <c r="Y41" s="145">
        <f t="shared" si="46"/>
        <v>-3525000</v>
      </c>
      <c r="Z41" s="145"/>
      <c r="AA41" s="337">
        <f t="shared" si="47"/>
        <v>14875000</v>
      </c>
      <c r="AB41" s="32"/>
    </row>
    <row r="42" spans="1:29" s="206" customFormat="1" ht="20.100000000000001" customHeight="1" x14ac:dyDescent="0.25">
      <c r="A42" s="102">
        <v>30</v>
      </c>
      <c r="B42" s="44" t="s">
        <v>70</v>
      </c>
      <c r="C42" s="41" t="s">
        <v>56</v>
      </c>
      <c r="D42" s="17">
        <v>5000000</v>
      </c>
      <c r="E42" s="17"/>
      <c r="F42" s="110">
        <v>2500000</v>
      </c>
      <c r="G42" s="110">
        <v>400000</v>
      </c>
      <c r="H42" s="56">
        <v>2500000</v>
      </c>
      <c r="I42" s="100">
        <f>2*1700000</f>
        <v>3400000</v>
      </c>
      <c r="J42" s="10">
        <f>1200000*2</f>
        <v>2400000</v>
      </c>
      <c r="K42" s="353">
        <f t="shared" si="43"/>
        <v>16200000</v>
      </c>
      <c r="L42" s="70">
        <f t="shared" si="44"/>
        <v>13300000</v>
      </c>
      <c r="M42" s="58">
        <v>15500000</v>
      </c>
      <c r="N42" s="204"/>
      <c r="O42" s="58">
        <f t="shared" si="54"/>
        <v>0</v>
      </c>
      <c r="P42" s="145">
        <f t="shared" si="55"/>
        <v>5000000</v>
      </c>
      <c r="Q42" s="128">
        <f t="shared" si="56"/>
        <v>875000</v>
      </c>
      <c r="R42" s="112">
        <f t="shared" si="48"/>
        <v>150000</v>
      </c>
      <c r="S42" s="125">
        <f t="shared" si="49"/>
        <v>50000</v>
      </c>
      <c r="T42" s="144">
        <f t="shared" si="45"/>
        <v>1075000</v>
      </c>
      <c r="U42" s="125">
        <f t="shared" si="50"/>
        <v>400000</v>
      </c>
      <c r="V42" s="125">
        <f t="shared" si="51"/>
        <v>75000</v>
      </c>
      <c r="W42" s="125">
        <f t="shared" si="52"/>
        <v>50000</v>
      </c>
      <c r="X42" s="144">
        <f t="shared" si="53"/>
        <v>525000</v>
      </c>
      <c r="Y42" s="145">
        <f t="shared" si="46"/>
        <v>-2725000</v>
      </c>
      <c r="Z42" s="145"/>
      <c r="AA42" s="337">
        <f t="shared" si="47"/>
        <v>15675000</v>
      </c>
      <c r="AB42" s="32"/>
      <c r="AC42" s="205"/>
    </row>
    <row r="43" spans="1:29" ht="20.100000000000001" customHeight="1" x14ac:dyDescent="0.25">
      <c r="A43" s="102">
        <v>31</v>
      </c>
      <c r="B43" s="116" t="s">
        <v>80</v>
      </c>
      <c r="C43" s="111" t="s">
        <v>37</v>
      </c>
      <c r="D43" s="46">
        <v>5000000</v>
      </c>
      <c r="E43" s="183"/>
      <c r="F43" s="110">
        <v>2500000</v>
      </c>
      <c r="G43" s="110">
        <v>400000</v>
      </c>
      <c r="H43" s="80">
        <v>2500000</v>
      </c>
      <c r="I43" s="192">
        <f t="shared" si="57"/>
        <v>3000000</v>
      </c>
      <c r="J43" s="110">
        <f>1000000*2</f>
        <v>2000000</v>
      </c>
      <c r="K43" s="72">
        <f t="shared" si="43"/>
        <v>15400000</v>
      </c>
      <c r="L43" s="72">
        <f t="shared" si="44"/>
        <v>12500000</v>
      </c>
      <c r="M43" s="58">
        <v>15500000</v>
      </c>
      <c r="N43" s="80"/>
      <c r="O43" s="58">
        <f t="shared" si="54"/>
        <v>0</v>
      </c>
      <c r="P43" s="163">
        <f t="shared" si="55"/>
        <v>5000000</v>
      </c>
      <c r="Q43" s="128">
        <f t="shared" si="56"/>
        <v>875000</v>
      </c>
      <c r="R43" s="112">
        <f t="shared" si="48"/>
        <v>150000</v>
      </c>
      <c r="S43" s="125">
        <f t="shared" si="49"/>
        <v>50000</v>
      </c>
      <c r="T43" s="144">
        <f t="shared" si="45"/>
        <v>1075000</v>
      </c>
      <c r="U43" s="125">
        <f t="shared" si="50"/>
        <v>400000</v>
      </c>
      <c r="V43" s="125">
        <f t="shared" si="51"/>
        <v>75000</v>
      </c>
      <c r="W43" s="125">
        <f t="shared" si="52"/>
        <v>50000</v>
      </c>
      <c r="X43" s="144">
        <f t="shared" si="53"/>
        <v>525000</v>
      </c>
      <c r="Y43" s="145">
        <f t="shared" si="46"/>
        <v>-3525000</v>
      </c>
      <c r="Z43" s="145"/>
      <c r="AA43" s="337">
        <f t="shared" si="47"/>
        <v>14875000</v>
      </c>
      <c r="AB43" s="32"/>
    </row>
    <row r="44" spans="1:29" ht="20.100000000000001" customHeight="1" x14ac:dyDescent="0.25">
      <c r="A44" s="102">
        <v>32</v>
      </c>
      <c r="B44" s="44" t="s">
        <v>130</v>
      </c>
      <c r="C44" s="41" t="s">
        <v>37</v>
      </c>
      <c r="D44" s="100">
        <v>5000000</v>
      </c>
      <c r="E44" s="17"/>
      <c r="F44" s="10">
        <v>2500000</v>
      </c>
      <c r="G44" s="10">
        <v>400000</v>
      </c>
      <c r="H44" s="56">
        <v>2500000</v>
      </c>
      <c r="I44" s="10">
        <f t="shared" si="57"/>
        <v>3000000</v>
      </c>
      <c r="J44" s="10">
        <f>2*1000000</f>
        <v>2000000</v>
      </c>
      <c r="K44" s="324">
        <f t="shared" ref="K44" si="59">SUM(D44:J44)</f>
        <v>15400000</v>
      </c>
      <c r="L44" s="70">
        <f t="shared" si="44"/>
        <v>12500000</v>
      </c>
      <c r="M44" s="56">
        <v>15500000</v>
      </c>
      <c r="N44" s="56"/>
      <c r="O44" s="56">
        <f t="shared" si="54"/>
        <v>0</v>
      </c>
      <c r="P44" s="144">
        <v>0</v>
      </c>
      <c r="Q44" s="125"/>
      <c r="R44" s="16"/>
      <c r="S44" s="130"/>
      <c r="T44" s="163">
        <f t="shared" si="45"/>
        <v>0</v>
      </c>
      <c r="U44" s="130"/>
      <c r="V44" s="130"/>
      <c r="W44" s="130"/>
      <c r="X44" s="163">
        <f t="shared" si="53"/>
        <v>0</v>
      </c>
      <c r="Y44" s="147">
        <f t="shared" si="46"/>
        <v>-3000000</v>
      </c>
      <c r="Z44" s="147"/>
      <c r="AA44" s="337">
        <f t="shared" si="47"/>
        <v>15400000</v>
      </c>
      <c r="AB44" s="32"/>
    </row>
    <row r="45" spans="1:29" ht="20.100000000000001" customHeight="1" x14ac:dyDescent="0.25">
      <c r="A45" s="102">
        <v>33</v>
      </c>
      <c r="B45" s="313" t="s">
        <v>151</v>
      </c>
      <c r="C45" s="314" t="s">
        <v>95</v>
      </c>
      <c r="D45" s="183">
        <v>5000000</v>
      </c>
      <c r="E45" s="183"/>
      <c r="F45" s="21">
        <v>2500000</v>
      </c>
      <c r="G45" s="21">
        <v>400000</v>
      </c>
      <c r="H45" s="184">
        <v>2500000</v>
      </c>
      <c r="I45" s="103">
        <f>2*1500000</f>
        <v>3000000</v>
      </c>
      <c r="J45" s="21">
        <f>1000000*2</f>
        <v>2000000</v>
      </c>
      <c r="K45" s="354">
        <f t="shared" si="43"/>
        <v>15400000</v>
      </c>
      <c r="L45" s="72">
        <f t="shared" si="44"/>
        <v>12500000</v>
      </c>
      <c r="M45" s="58">
        <v>15500000</v>
      </c>
      <c r="N45" s="184"/>
      <c r="O45" s="58"/>
      <c r="P45" s="147">
        <v>0</v>
      </c>
      <c r="Q45" s="130"/>
      <c r="R45" s="109"/>
      <c r="S45" s="164"/>
      <c r="T45" s="158">
        <f t="shared" si="45"/>
        <v>0</v>
      </c>
      <c r="U45" s="164"/>
      <c r="V45" s="164"/>
      <c r="W45" s="164"/>
      <c r="X45" s="158">
        <f t="shared" si="53"/>
        <v>0</v>
      </c>
      <c r="Y45" s="158">
        <f t="shared" si="46"/>
        <v>-3000000</v>
      </c>
      <c r="Z45" s="158"/>
      <c r="AA45" s="337">
        <f t="shared" si="47"/>
        <v>15400000</v>
      </c>
      <c r="AB45" s="32"/>
    </row>
    <row r="46" spans="1:29" s="28" customFormat="1" ht="20.100000000000001" customHeight="1" x14ac:dyDescent="0.25">
      <c r="A46" s="37"/>
      <c r="B46" s="42" t="s">
        <v>22</v>
      </c>
      <c r="C46" s="35"/>
      <c r="D46" s="12">
        <f t="shared" ref="D46:N46" si="60">SUM(D33:D45)</f>
        <v>78700000</v>
      </c>
      <c r="E46" s="12">
        <f t="shared" si="60"/>
        <v>0</v>
      </c>
      <c r="F46" s="12">
        <f t="shared" si="60"/>
        <v>32500000</v>
      </c>
      <c r="G46" s="12">
        <f t="shared" si="60"/>
        <v>5200000</v>
      </c>
      <c r="H46" s="12">
        <f t="shared" si="60"/>
        <v>32500000</v>
      </c>
      <c r="I46" s="12">
        <f t="shared" si="60"/>
        <v>53400000</v>
      </c>
      <c r="J46" s="12">
        <f t="shared" si="60"/>
        <v>41000000</v>
      </c>
      <c r="K46" s="129">
        <f t="shared" si="60"/>
        <v>243300000</v>
      </c>
      <c r="L46" s="12">
        <f t="shared" si="60"/>
        <v>205600000</v>
      </c>
      <c r="M46" s="12">
        <f t="shared" si="60"/>
        <v>201500000</v>
      </c>
      <c r="N46" s="12">
        <f t="shared" si="60"/>
        <v>9</v>
      </c>
      <c r="O46" s="12"/>
      <c r="P46" s="12">
        <f t="shared" ref="P46:X46" si="61">SUM(P33:P45)</f>
        <v>68700000</v>
      </c>
      <c r="Q46" s="12">
        <f t="shared" si="61"/>
        <v>12022500</v>
      </c>
      <c r="R46" s="12">
        <f t="shared" si="61"/>
        <v>2061000</v>
      </c>
      <c r="S46" s="12">
        <f t="shared" si="61"/>
        <v>687000</v>
      </c>
      <c r="T46" s="12">
        <f t="shared" si="61"/>
        <v>14770500</v>
      </c>
      <c r="U46" s="12">
        <f t="shared" si="61"/>
        <v>5496000</v>
      </c>
      <c r="V46" s="12">
        <f t="shared" si="61"/>
        <v>1030500</v>
      </c>
      <c r="W46" s="12">
        <f t="shared" si="61"/>
        <v>687000</v>
      </c>
      <c r="X46" s="12">
        <f t="shared" si="61"/>
        <v>7213500</v>
      </c>
      <c r="Y46" s="12"/>
      <c r="Z46" s="12">
        <f>SUM(Z33:Z45)</f>
        <v>68500</v>
      </c>
      <c r="AA46" s="187">
        <f>SUM(AA33:AA45)</f>
        <v>236018000</v>
      </c>
      <c r="AB46" s="32">
        <f>AA46-AA44-AA43</f>
        <v>205743000</v>
      </c>
      <c r="AC46" s="106">
        <f>X46-X43-X36</f>
        <v>5890500</v>
      </c>
    </row>
    <row r="47" spans="1:29" ht="20.100000000000001" customHeight="1" x14ac:dyDescent="0.25">
      <c r="A47" s="37"/>
      <c r="B47" s="92" t="s">
        <v>120</v>
      </c>
      <c r="C47" s="35"/>
      <c r="D47" s="13"/>
      <c r="E47" s="13"/>
      <c r="F47" s="13"/>
      <c r="G47" s="252"/>
      <c r="H47" s="13"/>
      <c r="I47" s="13"/>
      <c r="J47" s="13" t="s">
        <v>115</v>
      </c>
      <c r="K47" s="243"/>
      <c r="L47" s="13">
        <f>K46-F46-G46</f>
        <v>205600000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367"/>
      <c r="AB47" s="32"/>
      <c r="AC47" s="3">
        <f>AC46-'[4]36'!$F$18</f>
        <v>0</v>
      </c>
    </row>
    <row r="48" spans="1:29" s="91" customFormat="1" ht="20.100000000000001" customHeight="1" x14ac:dyDescent="0.25">
      <c r="A48" s="269">
        <v>34</v>
      </c>
      <c r="B48" s="261" t="s">
        <v>57</v>
      </c>
      <c r="C48" s="265" t="s">
        <v>54</v>
      </c>
      <c r="D48" s="99">
        <v>10500000</v>
      </c>
      <c r="E48" s="99"/>
      <c r="F48" s="103">
        <v>2500000</v>
      </c>
      <c r="G48" s="195">
        <v>400000</v>
      </c>
      <c r="H48" s="266">
        <v>2500000</v>
      </c>
      <c r="I48" s="103">
        <f>3*4000000</f>
        <v>12000000</v>
      </c>
      <c r="J48" s="99">
        <f>3*3500000-300000</f>
        <v>10200000</v>
      </c>
      <c r="K48" s="311">
        <f t="shared" ref="K48:K61" si="62">SUM(D48:J48)</f>
        <v>38100000</v>
      </c>
      <c r="L48" s="70">
        <f t="shared" ref="L48:L61" si="63">K48-E48-F48-G48</f>
        <v>35200000</v>
      </c>
      <c r="M48" s="58">
        <v>15500000</v>
      </c>
      <c r="N48" s="99">
        <v>3</v>
      </c>
      <c r="O48" s="99">
        <f>N48*6200000</f>
        <v>18600000</v>
      </c>
      <c r="P48" s="89">
        <f t="shared" ref="P48:P59" si="64">D48</f>
        <v>10500000</v>
      </c>
      <c r="Q48" s="128">
        <f t="shared" ref="Q48:Q61" si="65">P48*17.5%</f>
        <v>1837499.9999999998</v>
      </c>
      <c r="R48" s="112">
        <f t="shared" ref="R48:R61" si="66">P48*3%</f>
        <v>315000</v>
      </c>
      <c r="S48" s="125">
        <f t="shared" ref="S48:S61" si="67">P48*1%</f>
        <v>105000</v>
      </c>
      <c r="T48" s="144">
        <f t="shared" ref="T48:T61" si="68">SUM(Q48:S48)</f>
        <v>2257500</v>
      </c>
      <c r="U48" s="125">
        <f t="shared" ref="U48:U61" si="69">P48*8%</f>
        <v>840000</v>
      </c>
      <c r="V48" s="125">
        <f t="shared" ref="V48:V61" si="70">P48*1.5%</f>
        <v>157500</v>
      </c>
      <c r="W48" s="125">
        <f t="shared" ref="W48:W61" si="71">P48*1%</f>
        <v>105000</v>
      </c>
      <c r="X48" s="144">
        <f t="shared" ref="X48:X61" si="72">SUM(U48:W48)</f>
        <v>1102500</v>
      </c>
      <c r="Y48" s="145">
        <f t="shared" ref="Y48:Y61" si="73">L48-M48-O48-X48</f>
        <v>-2500</v>
      </c>
      <c r="Z48" s="145"/>
      <c r="AA48" s="337">
        <f t="shared" ref="AA48:AA61" si="74">K48-X48-Z48</f>
        <v>36997500</v>
      </c>
      <c r="AB48" s="90"/>
    </row>
    <row r="49" spans="1:29" s="91" customFormat="1" ht="20.100000000000001" customHeight="1" x14ac:dyDescent="0.25">
      <c r="A49" s="101">
        <v>35</v>
      </c>
      <c r="B49" s="116" t="s">
        <v>104</v>
      </c>
      <c r="C49" s="200" t="s">
        <v>55</v>
      </c>
      <c r="D49" s="100">
        <v>7600000</v>
      </c>
      <c r="E49" s="100"/>
      <c r="F49" s="100">
        <v>2500000</v>
      </c>
      <c r="G49" s="100">
        <v>400000</v>
      </c>
      <c r="H49" s="100">
        <v>2500000</v>
      </c>
      <c r="I49" s="100">
        <f>3*3500000</f>
        <v>10500000</v>
      </c>
      <c r="J49" s="100">
        <f>3*3000000-1000000</f>
        <v>8000000</v>
      </c>
      <c r="K49" s="311">
        <f t="shared" si="62"/>
        <v>31500000</v>
      </c>
      <c r="L49" s="70">
        <f t="shared" si="63"/>
        <v>28600000</v>
      </c>
      <c r="M49" s="58">
        <v>15500000</v>
      </c>
      <c r="N49" s="100">
        <v>2</v>
      </c>
      <c r="O49" s="100">
        <f t="shared" ref="O49:O61" si="75">N49*6200000</f>
        <v>12400000</v>
      </c>
      <c r="P49" s="94">
        <f t="shared" si="64"/>
        <v>7600000</v>
      </c>
      <c r="Q49" s="128">
        <f t="shared" si="65"/>
        <v>1330000</v>
      </c>
      <c r="R49" s="112">
        <f t="shared" si="66"/>
        <v>228000</v>
      </c>
      <c r="S49" s="125">
        <f t="shared" si="67"/>
        <v>76000</v>
      </c>
      <c r="T49" s="144">
        <f t="shared" si="68"/>
        <v>1634000</v>
      </c>
      <c r="U49" s="125">
        <f t="shared" si="69"/>
        <v>608000</v>
      </c>
      <c r="V49" s="125">
        <f t="shared" si="70"/>
        <v>114000</v>
      </c>
      <c r="W49" s="125">
        <f t="shared" si="71"/>
        <v>76000</v>
      </c>
      <c r="X49" s="144">
        <f t="shared" si="72"/>
        <v>798000</v>
      </c>
      <c r="Y49" s="145">
        <f t="shared" si="73"/>
        <v>-98000</v>
      </c>
      <c r="Z49" s="145"/>
      <c r="AA49" s="337">
        <f t="shared" si="74"/>
        <v>30702000</v>
      </c>
      <c r="AB49" s="90"/>
    </row>
    <row r="50" spans="1:29" s="91" customFormat="1" ht="20.100000000000001" customHeight="1" x14ac:dyDescent="0.25">
      <c r="A50" s="93">
        <v>36</v>
      </c>
      <c r="B50" s="44" t="s">
        <v>63</v>
      </c>
      <c r="C50" s="108" t="s">
        <v>145</v>
      </c>
      <c r="D50" s="100">
        <v>7600000</v>
      </c>
      <c r="E50" s="17"/>
      <c r="F50" s="10">
        <v>2500000</v>
      </c>
      <c r="G50" s="110">
        <v>400000</v>
      </c>
      <c r="H50" s="56">
        <v>2500000</v>
      </c>
      <c r="I50" s="10">
        <f>3*3000000</f>
        <v>9000000</v>
      </c>
      <c r="J50" s="100">
        <f>3*2500000</f>
        <v>7500000</v>
      </c>
      <c r="K50" s="311">
        <f t="shared" si="62"/>
        <v>29500000</v>
      </c>
      <c r="L50" s="70">
        <f t="shared" si="63"/>
        <v>26600000</v>
      </c>
      <c r="M50" s="58">
        <v>15500000</v>
      </c>
      <c r="N50" s="100">
        <v>2</v>
      </c>
      <c r="O50" s="100">
        <f t="shared" si="75"/>
        <v>12400000</v>
      </c>
      <c r="P50" s="94">
        <f t="shared" si="64"/>
        <v>7600000</v>
      </c>
      <c r="Q50" s="128">
        <f t="shared" si="65"/>
        <v>1330000</v>
      </c>
      <c r="R50" s="112">
        <f t="shared" si="66"/>
        <v>228000</v>
      </c>
      <c r="S50" s="125">
        <f t="shared" si="67"/>
        <v>76000</v>
      </c>
      <c r="T50" s="144">
        <f t="shared" si="68"/>
        <v>1634000</v>
      </c>
      <c r="U50" s="125">
        <f t="shared" si="69"/>
        <v>608000</v>
      </c>
      <c r="V50" s="125">
        <f t="shared" si="70"/>
        <v>114000</v>
      </c>
      <c r="W50" s="125">
        <f t="shared" si="71"/>
        <v>76000</v>
      </c>
      <c r="X50" s="144">
        <f t="shared" si="72"/>
        <v>798000</v>
      </c>
      <c r="Y50" s="145">
        <f t="shared" si="73"/>
        <v>-2098000</v>
      </c>
      <c r="Z50" s="145"/>
      <c r="AA50" s="337">
        <f t="shared" si="74"/>
        <v>28702000</v>
      </c>
      <c r="AB50" s="90"/>
    </row>
    <row r="51" spans="1:29" ht="20.100000000000001" customHeight="1" x14ac:dyDescent="0.25">
      <c r="A51" s="93">
        <v>37</v>
      </c>
      <c r="B51" s="44" t="s">
        <v>52</v>
      </c>
      <c r="C51" s="212" t="s">
        <v>128</v>
      </c>
      <c r="D51" s="222">
        <v>7600000</v>
      </c>
      <c r="E51" s="213"/>
      <c r="F51" s="224">
        <v>2500000</v>
      </c>
      <c r="G51" s="10">
        <v>400000</v>
      </c>
      <c r="H51" s="222">
        <v>2500000</v>
      </c>
      <c r="I51" s="224">
        <f>3*2700000</f>
        <v>8100000</v>
      </c>
      <c r="J51" s="228">
        <f>1950000*3</f>
        <v>5850000</v>
      </c>
      <c r="K51" s="310">
        <f t="shared" ref="K51" si="76">SUM(D51:J51)</f>
        <v>26950000</v>
      </c>
      <c r="L51" s="216">
        <f t="shared" si="63"/>
        <v>24050000</v>
      </c>
      <c r="M51" s="173">
        <v>15500000</v>
      </c>
      <c r="N51" s="213">
        <v>2</v>
      </c>
      <c r="O51" s="213">
        <f>N51*6200000</f>
        <v>12400000</v>
      </c>
      <c r="P51" s="217">
        <f t="shared" si="64"/>
        <v>7600000</v>
      </c>
      <c r="Q51" s="218">
        <f t="shared" si="65"/>
        <v>1330000</v>
      </c>
      <c r="R51" s="219">
        <f t="shared" si="66"/>
        <v>228000</v>
      </c>
      <c r="S51" s="218">
        <f t="shared" si="67"/>
        <v>76000</v>
      </c>
      <c r="T51" s="220">
        <f t="shared" si="68"/>
        <v>1634000</v>
      </c>
      <c r="U51" s="225">
        <f>P51*8%</f>
        <v>608000</v>
      </c>
      <c r="V51" s="225">
        <f>P51*1.5%</f>
        <v>114000</v>
      </c>
      <c r="W51" s="225">
        <f t="shared" si="71"/>
        <v>76000</v>
      </c>
      <c r="X51" s="226">
        <f t="shared" si="72"/>
        <v>798000</v>
      </c>
      <c r="Y51" s="226">
        <f t="shared" si="73"/>
        <v>-4648000</v>
      </c>
      <c r="Z51" s="226"/>
      <c r="AA51" s="337">
        <f t="shared" si="74"/>
        <v>26152000</v>
      </c>
      <c r="AB51" s="32"/>
    </row>
    <row r="52" spans="1:29" s="91" customFormat="1" ht="20.100000000000001" customHeight="1" x14ac:dyDescent="0.25">
      <c r="A52" s="93">
        <v>38</v>
      </c>
      <c r="B52" s="44" t="s">
        <v>111</v>
      </c>
      <c r="C52" s="108" t="s">
        <v>124</v>
      </c>
      <c r="D52" s="46">
        <v>6000000</v>
      </c>
      <c r="E52" s="17"/>
      <c r="F52" s="110">
        <v>2500000</v>
      </c>
      <c r="G52" s="10">
        <v>400000</v>
      </c>
      <c r="H52" s="56">
        <v>2500000</v>
      </c>
      <c r="I52" s="10">
        <f>3*2700000</f>
        <v>8100000</v>
      </c>
      <c r="J52" s="341">
        <f>3*1950000-150000</f>
        <v>5700000</v>
      </c>
      <c r="K52" s="311">
        <f t="shared" ref="K52" si="77">SUM(D52:J52)</f>
        <v>25200000</v>
      </c>
      <c r="L52" s="70">
        <f t="shared" si="63"/>
        <v>22300000</v>
      </c>
      <c r="M52" s="58">
        <v>15500000</v>
      </c>
      <c r="N52" s="100">
        <v>1</v>
      </c>
      <c r="O52" s="100">
        <f t="shared" ref="O52" si="78">N52*6200000</f>
        <v>6200000</v>
      </c>
      <c r="P52" s="94">
        <f t="shared" si="64"/>
        <v>6000000</v>
      </c>
      <c r="Q52" s="128">
        <f t="shared" si="65"/>
        <v>1050000</v>
      </c>
      <c r="R52" s="112">
        <f t="shared" si="66"/>
        <v>180000</v>
      </c>
      <c r="S52" s="125">
        <f t="shared" si="67"/>
        <v>60000</v>
      </c>
      <c r="T52" s="144">
        <f t="shared" si="68"/>
        <v>1290000</v>
      </c>
      <c r="U52" s="125">
        <f t="shared" ref="U52" si="79">P52*8%</f>
        <v>480000</v>
      </c>
      <c r="V52" s="125">
        <f t="shared" ref="V52" si="80">P52*1.5%</f>
        <v>90000</v>
      </c>
      <c r="W52" s="125">
        <f t="shared" si="71"/>
        <v>60000</v>
      </c>
      <c r="X52" s="144">
        <f t="shared" si="72"/>
        <v>630000</v>
      </c>
      <c r="Y52" s="145">
        <f t="shared" si="73"/>
        <v>-30000</v>
      </c>
      <c r="Z52" s="145"/>
      <c r="AA52" s="337">
        <f t="shared" si="74"/>
        <v>24570000</v>
      </c>
      <c r="AB52" s="90"/>
    </row>
    <row r="53" spans="1:29" s="91" customFormat="1" ht="20.100000000000001" customHeight="1" x14ac:dyDescent="0.25">
      <c r="A53" s="93">
        <v>39</v>
      </c>
      <c r="B53" s="44" t="s">
        <v>117</v>
      </c>
      <c r="C53" s="108" t="s">
        <v>125</v>
      </c>
      <c r="D53" s="100">
        <v>6000000</v>
      </c>
      <c r="E53" s="17"/>
      <c r="F53" s="110">
        <v>2500000</v>
      </c>
      <c r="G53" s="10">
        <v>400000</v>
      </c>
      <c r="H53" s="56">
        <v>2500000</v>
      </c>
      <c r="I53" s="10">
        <f>3*2700000</f>
        <v>8100000</v>
      </c>
      <c r="J53" s="100">
        <f>3*1950000</f>
        <v>5850000</v>
      </c>
      <c r="K53" s="311">
        <f t="shared" si="62"/>
        <v>25350000</v>
      </c>
      <c r="L53" s="70">
        <f t="shared" si="63"/>
        <v>22450000</v>
      </c>
      <c r="M53" s="58">
        <v>15500000</v>
      </c>
      <c r="N53" s="100">
        <v>2</v>
      </c>
      <c r="O53" s="100">
        <f t="shared" si="75"/>
        <v>12400000</v>
      </c>
      <c r="P53" s="94">
        <f t="shared" si="64"/>
        <v>6000000</v>
      </c>
      <c r="Q53" s="128">
        <f t="shared" si="65"/>
        <v>1050000</v>
      </c>
      <c r="R53" s="112">
        <f t="shared" si="66"/>
        <v>180000</v>
      </c>
      <c r="S53" s="125">
        <f t="shared" si="67"/>
        <v>60000</v>
      </c>
      <c r="T53" s="144">
        <f t="shared" si="68"/>
        <v>1290000</v>
      </c>
      <c r="U53" s="125">
        <f t="shared" si="69"/>
        <v>480000</v>
      </c>
      <c r="V53" s="125">
        <f t="shared" si="70"/>
        <v>90000</v>
      </c>
      <c r="W53" s="125">
        <f t="shared" si="71"/>
        <v>60000</v>
      </c>
      <c r="X53" s="144">
        <f t="shared" si="72"/>
        <v>630000</v>
      </c>
      <c r="Y53" s="145">
        <f t="shared" si="73"/>
        <v>-6080000</v>
      </c>
      <c r="Z53" s="145"/>
      <c r="AA53" s="337">
        <f t="shared" si="74"/>
        <v>24720000</v>
      </c>
      <c r="AB53" s="90"/>
    </row>
    <row r="54" spans="1:29" s="206" customFormat="1" ht="20.100000000000001" customHeight="1" x14ac:dyDescent="0.25">
      <c r="A54" s="93">
        <v>40</v>
      </c>
      <c r="B54" s="44" t="s">
        <v>53</v>
      </c>
      <c r="C54" s="41" t="s">
        <v>37</v>
      </c>
      <c r="D54" s="17">
        <v>5000000</v>
      </c>
      <c r="E54" s="17"/>
      <c r="F54" s="10">
        <v>2500000</v>
      </c>
      <c r="G54" s="10">
        <v>400000</v>
      </c>
      <c r="H54" s="56">
        <v>2500000</v>
      </c>
      <c r="I54" s="10">
        <f t="shared" ref="I54:I61" si="81">3*1500000</f>
        <v>4500000</v>
      </c>
      <c r="J54" s="100">
        <f t="shared" ref="J54:J61" si="82">3*1000000</f>
        <v>3000000</v>
      </c>
      <c r="K54" s="69">
        <f t="shared" ref="K54" si="83">SUM(D54:J54)</f>
        <v>17900000</v>
      </c>
      <c r="L54" s="70">
        <f t="shared" si="63"/>
        <v>15000000</v>
      </c>
      <c r="M54" s="58">
        <v>15500000</v>
      </c>
      <c r="N54" s="204"/>
      <c r="O54" s="58">
        <f t="shared" si="75"/>
        <v>0</v>
      </c>
      <c r="P54" s="145">
        <f t="shared" si="64"/>
        <v>5000000</v>
      </c>
      <c r="Q54" s="128">
        <f t="shared" si="65"/>
        <v>875000</v>
      </c>
      <c r="R54" s="112">
        <f t="shared" si="66"/>
        <v>150000</v>
      </c>
      <c r="S54" s="125">
        <f t="shared" si="67"/>
        <v>50000</v>
      </c>
      <c r="T54" s="145">
        <f t="shared" si="68"/>
        <v>1075000</v>
      </c>
      <c r="U54" s="126">
        <f t="shared" si="69"/>
        <v>400000</v>
      </c>
      <c r="V54" s="126">
        <f t="shared" si="70"/>
        <v>75000</v>
      </c>
      <c r="W54" s="126">
        <f t="shared" si="71"/>
        <v>50000</v>
      </c>
      <c r="X54" s="145">
        <f t="shared" si="72"/>
        <v>525000</v>
      </c>
      <c r="Y54" s="145">
        <f t="shared" si="73"/>
        <v>-1025000</v>
      </c>
      <c r="Z54" s="145"/>
      <c r="AA54" s="337">
        <f t="shared" si="74"/>
        <v>17375000</v>
      </c>
      <c r="AB54" s="32"/>
      <c r="AC54" s="205"/>
    </row>
    <row r="55" spans="1:29" s="91" customFormat="1" ht="20.100000000000001" customHeight="1" x14ac:dyDescent="0.25">
      <c r="A55" s="93">
        <v>41</v>
      </c>
      <c r="B55" s="44" t="s">
        <v>103</v>
      </c>
      <c r="C55" s="108" t="s">
        <v>37</v>
      </c>
      <c r="D55" s="46">
        <v>5000000</v>
      </c>
      <c r="E55" s="17"/>
      <c r="F55" s="110">
        <v>2500000</v>
      </c>
      <c r="G55" s="10">
        <v>400000</v>
      </c>
      <c r="H55" s="56">
        <v>2500000</v>
      </c>
      <c r="I55" s="10">
        <f t="shared" si="81"/>
        <v>4500000</v>
      </c>
      <c r="J55" s="100">
        <f t="shared" si="82"/>
        <v>3000000</v>
      </c>
      <c r="K55" s="311">
        <f t="shared" si="62"/>
        <v>17900000</v>
      </c>
      <c r="L55" s="70">
        <f t="shared" si="63"/>
        <v>15000000</v>
      </c>
      <c r="M55" s="58">
        <v>15500000</v>
      </c>
      <c r="N55" s="100"/>
      <c r="O55" s="100">
        <f t="shared" si="75"/>
        <v>0</v>
      </c>
      <c r="P55" s="94">
        <f t="shared" si="64"/>
        <v>5000000</v>
      </c>
      <c r="Q55" s="128">
        <f t="shared" si="65"/>
        <v>875000</v>
      </c>
      <c r="R55" s="112">
        <f t="shared" si="66"/>
        <v>150000</v>
      </c>
      <c r="S55" s="125">
        <f t="shared" si="67"/>
        <v>50000</v>
      </c>
      <c r="T55" s="144">
        <f t="shared" si="68"/>
        <v>1075000</v>
      </c>
      <c r="U55" s="125">
        <f t="shared" si="69"/>
        <v>400000</v>
      </c>
      <c r="V55" s="125">
        <f t="shared" si="70"/>
        <v>75000</v>
      </c>
      <c r="W55" s="125">
        <f t="shared" si="71"/>
        <v>50000</v>
      </c>
      <c r="X55" s="144">
        <f t="shared" si="72"/>
        <v>525000</v>
      </c>
      <c r="Y55" s="145">
        <f t="shared" si="73"/>
        <v>-1025000</v>
      </c>
      <c r="Z55" s="145"/>
      <c r="AA55" s="337">
        <f t="shared" si="74"/>
        <v>17375000</v>
      </c>
      <c r="AB55" s="90"/>
    </row>
    <row r="56" spans="1:29" s="91" customFormat="1" ht="20.100000000000001" customHeight="1" x14ac:dyDescent="0.25">
      <c r="A56" s="93">
        <v>42</v>
      </c>
      <c r="B56" s="44" t="s">
        <v>81</v>
      </c>
      <c r="C56" s="108" t="s">
        <v>37</v>
      </c>
      <c r="D56" s="46">
        <v>5000000</v>
      </c>
      <c r="E56" s="17"/>
      <c r="F56" s="110">
        <v>2500000</v>
      </c>
      <c r="G56" s="10">
        <v>400000</v>
      </c>
      <c r="H56" s="56">
        <v>2500000</v>
      </c>
      <c r="I56" s="10">
        <f t="shared" si="81"/>
        <v>4500000</v>
      </c>
      <c r="J56" s="100">
        <f t="shared" si="82"/>
        <v>3000000</v>
      </c>
      <c r="K56" s="311">
        <f t="shared" si="62"/>
        <v>17900000</v>
      </c>
      <c r="L56" s="70">
        <f t="shared" si="63"/>
        <v>15000000</v>
      </c>
      <c r="M56" s="58">
        <v>15500000</v>
      </c>
      <c r="N56" s="100">
        <v>1</v>
      </c>
      <c r="O56" s="100">
        <f t="shared" si="75"/>
        <v>6200000</v>
      </c>
      <c r="P56" s="94">
        <f t="shared" si="64"/>
        <v>5000000</v>
      </c>
      <c r="Q56" s="128">
        <f t="shared" si="65"/>
        <v>875000</v>
      </c>
      <c r="R56" s="112">
        <f t="shared" si="66"/>
        <v>150000</v>
      </c>
      <c r="S56" s="125">
        <f t="shared" si="67"/>
        <v>50000</v>
      </c>
      <c r="T56" s="144">
        <f t="shared" si="68"/>
        <v>1075000</v>
      </c>
      <c r="U56" s="125">
        <f t="shared" si="69"/>
        <v>400000</v>
      </c>
      <c r="V56" s="125">
        <f t="shared" si="70"/>
        <v>75000</v>
      </c>
      <c r="W56" s="125">
        <f t="shared" si="71"/>
        <v>50000</v>
      </c>
      <c r="X56" s="144">
        <f t="shared" si="72"/>
        <v>525000</v>
      </c>
      <c r="Y56" s="145">
        <f t="shared" si="73"/>
        <v>-7225000</v>
      </c>
      <c r="Z56" s="145"/>
      <c r="AA56" s="337">
        <f t="shared" si="74"/>
        <v>17375000</v>
      </c>
      <c r="AB56" s="90"/>
    </row>
    <row r="57" spans="1:29" s="91" customFormat="1" ht="20.100000000000001" customHeight="1" x14ac:dyDescent="0.25">
      <c r="A57" s="93">
        <v>43</v>
      </c>
      <c r="B57" s="44" t="s">
        <v>116</v>
      </c>
      <c r="C57" s="108" t="s">
        <v>94</v>
      </c>
      <c r="D57" s="46">
        <v>5000000</v>
      </c>
      <c r="E57" s="17"/>
      <c r="F57" s="110">
        <v>2500000</v>
      </c>
      <c r="G57" s="10">
        <v>400000</v>
      </c>
      <c r="H57" s="56">
        <v>2500000</v>
      </c>
      <c r="I57" s="10">
        <f t="shared" si="81"/>
        <v>4500000</v>
      </c>
      <c r="J57" s="100">
        <f t="shared" si="82"/>
        <v>3000000</v>
      </c>
      <c r="K57" s="311">
        <f t="shared" si="62"/>
        <v>17900000</v>
      </c>
      <c r="L57" s="70">
        <f t="shared" si="63"/>
        <v>15000000</v>
      </c>
      <c r="M57" s="58">
        <v>15500000</v>
      </c>
      <c r="N57" s="100"/>
      <c r="O57" s="100">
        <f t="shared" si="75"/>
        <v>0</v>
      </c>
      <c r="P57" s="94">
        <f t="shared" si="64"/>
        <v>5000000</v>
      </c>
      <c r="Q57" s="128">
        <f t="shared" si="65"/>
        <v>875000</v>
      </c>
      <c r="R57" s="112">
        <f t="shared" si="66"/>
        <v>150000</v>
      </c>
      <c r="S57" s="125">
        <f t="shared" si="67"/>
        <v>50000</v>
      </c>
      <c r="T57" s="144">
        <f t="shared" si="68"/>
        <v>1075000</v>
      </c>
      <c r="U57" s="125">
        <f t="shared" si="69"/>
        <v>400000</v>
      </c>
      <c r="V57" s="125">
        <f t="shared" si="70"/>
        <v>75000</v>
      </c>
      <c r="W57" s="125">
        <f t="shared" si="71"/>
        <v>50000</v>
      </c>
      <c r="X57" s="144">
        <f t="shared" si="72"/>
        <v>525000</v>
      </c>
      <c r="Y57" s="145">
        <f t="shared" si="73"/>
        <v>-1025000</v>
      </c>
      <c r="Z57" s="145"/>
      <c r="AA57" s="337">
        <f t="shared" si="74"/>
        <v>17375000</v>
      </c>
      <c r="AB57" s="90"/>
    </row>
    <row r="58" spans="1:29" s="91" customFormat="1" ht="20.100000000000001" customHeight="1" x14ac:dyDescent="0.25">
      <c r="A58" s="93">
        <v>44</v>
      </c>
      <c r="B58" s="44" t="s">
        <v>83</v>
      </c>
      <c r="C58" s="268" t="s">
        <v>56</v>
      </c>
      <c r="D58" s="46">
        <v>5000000</v>
      </c>
      <c r="E58" s="17"/>
      <c r="F58" s="110">
        <v>2500000</v>
      </c>
      <c r="G58" s="10">
        <v>400000</v>
      </c>
      <c r="H58" s="56">
        <v>2500000</v>
      </c>
      <c r="I58" s="10">
        <f t="shared" si="81"/>
        <v>4500000</v>
      </c>
      <c r="J58" s="100">
        <f t="shared" si="82"/>
        <v>3000000</v>
      </c>
      <c r="K58" s="311">
        <f t="shared" si="62"/>
        <v>17900000</v>
      </c>
      <c r="L58" s="70">
        <f t="shared" si="63"/>
        <v>15000000</v>
      </c>
      <c r="M58" s="58">
        <v>15500000</v>
      </c>
      <c r="N58" s="100"/>
      <c r="O58" s="100">
        <f t="shared" si="75"/>
        <v>0</v>
      </c>
      <c r="P58" s="94">
        <f t="shared" si="64"/>
        <v>5000000</v>
      </c>
      <c r="Q58" s="128">
        <f t="shared" si="65"/>
        <v>875000</v>
      </c>
      <c r="R58" s="112">
        <f t="shared" si="66"/>
        <v>150000</v>
      </c>
      <c r="S58" s="125">
        <f t="shared" si="67"/>
        <v>50000</v>
      </c>
      <c r="T58" s="144">
        <f t="shared" si="68"/>
        <v>1075000</v>
      </c>
      <c r="U58" s="125">
        <f t="shared" si="69"/>
        <v>400000</v>
      </c>
      <c r="V58" s="125">
        <f t="shared" si="70"/>
        <v>75000</v>
      </c>
      <c r="W58" s="125">
        <f t="shared" si="71"/>
        <v>50000</v>
      </c>
      <c r="X58" s="144">
        <f t="shared" si="72"/>
        <v>525000</v>
      </c>
      <c r="Y58" s="145">
        <f t="shared" si="73"/>
        <v>-1025000</v>
      </c>
      <c r="Z58" s="145"/>
      <c r="AA58" s="337">
        <f t="shared" si="74"/>
        <v>17375000</v>
      </c>
      <c r="AB58" s="90"/>
    </row>
    <row r="59" spans="1:29" s="105" customFormat="1" ht="20.100000000000001" customHeight="1" x14ac:dyDescent="0.25">
      <c r="A59" s="93">
        <v>45</v>
      </c>
      <c r="B59" s="44" t="s">
        <v>6</v>
      </c>
      <c r="C59" s="41" t="s">
        <v>56</v>
      </c>
      <c r="D59" s="100">
        <v>5000000</v>
      </c>
      <c r="E59" s="17"/>
      <c r="F59" s="10">
        <v>2500000</v>
      </c>
      <c r="G59" s="110">
        <v>400000</v>
      </c>
      <c r="H59" s="56">
        <v>2500000</v>
      </c>
      <c r="I59" s="10">
        <f t="shared" si="81"/>
        <v>4500000</v>
      </c>
      <c r="J59" s="100">
        <f t="shared" si="82"/>
        <v>3000000</v>
      </c>
      <c r="K59" s="325">
        <f t="shared" ref="K59" si="84">SUM(D59:J59)</f>
        <v>17900000</v>
      </c>
      <c r="L59" s="98">
        <f t="shared" si="63"/>
        <v>15000000</v>
      </c>
      <c r="M59" s="58">
        <v>15500000</v>
      </c>
      <c r="N59" s="59"/>
      <c r="O59" s="58">
        <f t="shared" si="75"/>
        <v>0</v>
      </c>
      <c r="P59" s="144">
        <f t="shared" si="64"/>
        <v>5000000</v>
      </c>
      <c r="Q59" s="125">
        <f t="shared" si="65"/>
        <v>875000</v>
      </c>
      <c r="R59" s="16">
        <f t="shared" si="66"/>
        <v>150000</v>
      </c>
      <c r="S59" s="125">
        <f t="shared" si="67"/>
        <v>50000</v>
      </c>
      <c r="T59" s="145">
        <f t="shared" si="68"/>
        <v>1075000</v>
      </c>
      <c r="U59" s="126">
        <f t="shared" si="69"/>
        <v>400000</v>
      </c>
      <c r="V59" s="126">
        <f t="shared" si="70"/>
        <v>75000</v>
      </c>
      <c r="W59" s="126">
        <f t="shared" si="71"/>
        <v>50000</v>
      </c>
      <c r="X59" s="145">
        <f t="shared" si="72"/>
        <v>525000</v>
      </c>
      <c r="Y59" s="145">
        <f t="shared" si="73"/>
        <v>-1025000</v>
      </c>
      <c r="Z59" s="145"/>
      <c r="AA59" s="337">
        <f t="shared" si="74"/>
        <v>17375000</v>
      </c>
      <c r="AB59" s="32"/>
    </row>
    <row r="60" spans="1:29" s="91" customFormat="1" ht="20.100000000000001" customHeight="1" x14ac:dyDescent="0.25">
      <c r="A60" s="271">
        <v>46</v>
      </c>
      <c r="B60" s="44" t="s">
        <v>127</v>
      </c>
      <c r="C60" s="268" t="s">
        <v>56</v>
      </c>
      <c r="D60" s="46">
        <v>5000000</v>
      </c>
      <c r="E60" s="17"/>
      <c r="F60" s="110">
        <v>2500000</v>
      </c>
      <c r="G60" s="10">
        <v>400000</v>
      </c>
      <c r="H60" s="56">
        <v>2500000</v>
      </c>
      <c r="I60" s="10">
        <f t="shared" si="81"/>
        <v>4500000</v>
      </c>
      <c r="J60" s="100">
        <f t="shared" si="82"/>
        <v>3000000</v>
      </c>
      <c r="K60" s="311">
        <f t="shared" si="62"/>
        <v>17900000</v>
      </c>
      <c r="L60" s="70">
        <f t="shared" si="63"/>
        <v>15000000</v>
      </c>
      <c r="M60" s="58">
        <v>15500000</v>
      </c>
      <c r="N60" s="100"/>
      <c r="O60" s="100">
        <f t="shared" si="75"/>
        <v>0</v>
      </c>
      <c r="P60" s="94">
        <v>5000000</v>
      </c>
      <c r="Q60" s="128">
        <f t="shared" si="65"/>
        <v>875000</v>
      </c>
      <c r="R60" s="112">
        <f t="shared" si="66"/>
        <v>150000</v>
      </c>
      <c r="S60" s="125">
        <f t="shared" si="67"/>
        <v>50000</v>
      </c>
      <c r="T60" s="144">
        <f t="shared" si="68"/>
        <v>1075000</v>
      </c>
      <c r="U60" s="125">
        <f t="shared" si="69"/>
        <v>400000</v>
      </c>
      <c r="V60" s="125">
        <f t="shared" si="70"/>
        <v>75000</v>
      </c>
      <c r="W60" s="125">
        <f t="shared" si="71"/>
        <v>50000</v>
      </c>
      <c r="X60" s="144">
        <f t="shared" si="72"/>
        <v>525000</v>
      </c>
      <c r="Y60" s="145">
        <f t="shared" si="73"/>
        <v>-1025000</v>
      </c>
      <c r="Z60" s="145"/>
      <c r="AA60" s="337">
        <f t="shared" si="74"/>
        <v>17375000</v>
      </c>
      <c r="AB60" s="90"/>
    </row>
    <row r="61" spans="1:29" s="91" customFormat="1" ht="20.100000000000001" customHeight="1" x14ac:dyDescent="0.25">
      <c r="A61" s="101">
        <v>47</v>
      </c>
      <c r="B61" s="107" t="s">
        <v>119</v>
      </c>
      <c r="C61" s="193" t="s">
        <v>95</v>
      </c>
      <c r="D61" s="46">
        <v>5000000</v>
      </c>
      <c r="E61" s="17"/>
      <c r="F61" s="110">
        <v>2500000</v>
      </c>
      <c r="G61" s="10">
        <v>400000</v>
      </c>
      <c r="H61" s="56">
        <v>2500000</v>
      </c>
      <c r="I61" s="10">
        <f t="shared" si="81"/>
        <v>4500000</v>
      </c>
      <c r="J61" s="100">
        <f t="shared" si="82"/>
        <v>3000000</v>
      </c>
      <c r="K61" s="311">
        <f t="shared" si="62"/>
        <v>17900000</v>
      </c>
      <c r="L61" s="70">
        <f t="shared" si="63"/>
        <v>15000000</v>
      </c>
      <c r="M61" s="58">
        <v>15500000</v>
      </c>
      <c r="N61" s="270"/>
      <c r="O61" s="103">
        <f t="shared" si="75"/>
        <v>0</v>
      </c>
      <c r="P61" s="252">
        <v>5000000</v>
      </c>
      <c r="Q61" s="128">
        <f t="shared" si="65"/>
        <v>875000</v>
      </c>
      <c r="R61" s="112">
        <f t="shared" si="66"/>
        <v>150000</v>
      </c>
      <c r="S61" s="125">
        <f t="shared" si="67"/>
        <v>50000</v>
      </c>
      <c r="T61" s="144">
        <f t="shared" si="68"/>
        <v>1075000</v>
      </c>
      <c r="U61" s="125">
        <f t="shared" si="69"/>
        <v>400000</v>
      </c>
      <c r="V61" s="125">
        <f t="shared" si="70"/>
        <v>75000</v>
      </c>
      <c r="W61" s="125">
        <f t="shared" si="71"/>
        <v>50000</v>
      </c>
      <c r="X61" s="144">
        <f t="shared" si="72"/>
        <v>525000</v>
      </c>
      <c r="Y61" s="145">
        <f t="shared" si="73"/>
        <v>-1025000</v>
      </c>
      <c r="Z61" s="145"/>
      <c r="AA61" s="337">
        <f t="shared" si="74"/>
        <v>17375000</v>
      </c>
      <c r="AB61" s="90"/>
    </row>
    <row r="62" spans="1:29" ht="20.100000000000001" customHeight="1" x14ac:dyDescent="0.25">
      <c r="A62" s="37"/>
      <c r="B62" s="42" t="s">
        <v>118</v>
      </c>
      <c r="C62" s="35"/>
      <c r="D62" s="12">
        <f t="shared" ref="D62:L62" si="85">SUM(D48:D61)</f>
        <v>85300000</v>
      </c>
      <c r="E62" s="12">
        <f t="shared" si="85"/>
        <v>0</v>
      </c>
      <c r="F62" s="12">
        <f t="shared" si="85"/>
        <v>35000000</v>
      </c>
      <c r="G62" s="12">
        <f t="shared" si="85"/>
        <v>5600000</v>
      </c>
      <c r="H62" s="12">
        <f t="shared" si="85"/>
        <v>35000000</v>
      </c>
      <c r="I62" s="12">
        <f t="shared" si="85"/>
        <v>91800000</v>
      </c>
      <c r="J62" s="12">
        <f t="shared" si="85"/>
        <v>67100000</v>
      </c>
      <c r="K62" s="129">
        <f t="shared" si="85"/>
        <v>319800000</v>
      </c>
      <c r="L62" s="12">
        <f t="shared" si="85"/>
        <v>279200000</v>
      </c>
      <c r="M62" s="12"/>
      <c r="N62" s="13">
        <f t="shared" ref="N62:AA62" si="86">SUM(N48:N61)</f>
        <v>13</v>
      </c>
      <c r="O62" s="13"/>
      <c r="P62" s="13">
        <f t="shared" si="86"/>
        <v>85300000</v>
      </c>
      <c r="Q62" s="13">
        <f t="shared" si="86"/>
        <v>14927500</v>
      </c>
      <c r="R62" s="13">
        <f t="shared" si="86"/>
        <v>2559000</v>
      </c>
      <c r="S62" s="13">
        <f t="shared" si="86"/>
        <v>853000</v>
      </c>
      <c r="T62" s="13">
        <f t="shared" si="86"/>
        <v>18339500</v>
      </c>
      <c r="U62" s="13">
        <f t="shared" si="86"/>
        <v>6824000</v>
      </c>
      <c r="V62" s="13">
        <f t="shared" si="86"/>
        <v>1279500</v>
      </c>
      <c r="W62" s="13">
        <f t="shared" si="86"/>
        <v>853000</v>
      </c>
      <c r="X62" s="13">
        <f t="shared" si="86"/>
        <v>8956500</v>
      </c>
      <c r="Y62" s="13"/>
      <c r="Z62" s="13"/>
      <c r="AA62" s="367">
        <f t="shared" si="86"/>
        <v>310843500</v>
      </c>
      <c r="AB62" s="32">
        <f>X62-X59-X54</f>
        <v>7906500</v>
      </c>
    </row>
    <row r="63" spans="1:29" ht="20.100000000000001" customHeight="1" x14ac:dyDescent="0.25">
      <c r="A63" s="37" t="s">
        <v>26</v>
      </c>
      <c r="B63" s="38" t="s">
        <v>28</v>
      </c>
      <c r="C63" s="43"/>
      <c r="D63" s="18"/>
      <c r="E63" s="18"/>
      <c r="F63" s="18"/>
      <c r="G63" s="183"/>
      <c r="H63" s="18"/>
      <c r="I63" s="18"/>
      <c r="J63" s="242" t="s">
        <v>113</v>
      </c>
      <c r="K63" s="242"/>
      <c r="L63" s="71">
        <f>K62-F62-G62</f>
        <v>279200000</v>
      </c>
      <c r="M63" s="262"/>
      <c r="N63" s="175"/>
      <c r="O63" s="175"/>
      <c r="P63" s="124"/>
      <c r="Q63" s="124"/>
      <c r="R63" s="14"/>
      <c r="S63" s="124"/>
      <c r="T63" s="124"/>
      <c r="U63" s="124"/>
      <c r="V63" s="124"/>
      <c r="W63" s="124"/>
      <c r="X63" s="124"/>
      <c r="Y63" s="124"/>
      <c r="Z63" s="124"/>
      <c r="AA63" s="366"/>
      <c r="AB63" s="32">
        <f>AB62-'[4]18'!$F$19</f>
        <v>0</v>
      </c>
    </row>
    <row r="64" spans="1:29" s="91" customFormat="1" ht="20.100000000000001" customHeight="1" x14ac:dyDescent="0.25">
      <c r="A64" s="102">
        <v>48</v>
      </c>
      <c r="B64" s="44" t="s">
        <v>73</v>
      </c>
      <c r="C64" s="207" t="s">
        <v>54</v>
      </c>
      <c r="D64" s="198">
        <v>10500000</v>
      </c>
      <c r="E64" s="338"/>
      <c r="F64" s="103">
        <v>2500000</v>
      </c>
      <c r="G64" s="195">
        <v>400000</v>
      </c>
      <c r="H64" s="201">
        <v>2500000</v>
      </c>
      <c r="I64" s="103">
        <f>2*3500000</f>
        <v>7000000</v>
      </c>
      <c r="J64" s="103">
        <f>3000000*2</f>
        <v>6000000</v>
      </c>
      <c r="K64" s="323">
        <f>SUM(D64:J64)</f>
        <v>28900000</v>
      </c>
      <c r="L64" s="208">
        <f>K64-E64-F64-G64</f>
        <v>26000000</v>
      </c>
      <c r="M64" s="263">
        <v>15500000</v>
      </c>
      <c r="N64" s="209">
        <v>2</v>
      </c>
      <c r="O64" s="209">
        <f>N64*6200000</f>
        <v>12400000</v>
      </c>
      <c r="P64" s="145">
        <f t="shared" ref="P64:P69" si="87">D64</f>
        <v>10500000</v>
      </c>
      <c r="Q64" s="126">
        <f>P64*17.5%</f>
        <v>1837499.9999999998</v>
      </c>
      <c r="R64" s="15">
        <f>P64*3%</f>
        <v>315000</v>
      </c>
      <c r="S64" s="126">
        <f>P64*1%</f>
        <v>105000</v>
      </c>
      <c r="T64" s="145">
        <f t="shared" ref="T64:T75" si="88">SUM(Q64:S64)</f>
        <v>2257500</v>
      </c>
      <c r="U64" s="126">
        <f>P64*8%</f>
        <v>840000</v>
      </c>
      <c r="V64" s="126">
        <f>P64*1.5%</f>
        <v>157500</v>
      </c>
      <c r="W64" s="126">
        <f>P64*1%</f>
        <v>105000</v>
      </c>
      <c r="X64" s="145">
        <f>SUM(U64:W64)</f>
        <v>1102500</v>
      </c>
      <c r="Y64" s="145">
        <f t="shared" ref="Y64:Y75" si="89">L64-M64-O64-X64</f>
        <v>-3002500</v>
      </c>
      <c r="Z64" s="145"/>
      <c r="AA64" s="337">
        <f t="shared" ref="AA64:AA75" si="90">K64-X64-Z64</f>
        <v>27797500</v>
      </c>
      <c r="AB64" s="90"/>
    </row>
    <row r="65" spans="1:30" s="91" customFormat="1" ht="20.100000000000001" customHeight="1" x14ac:dyDescent="0.25">
      <c r="A65" s="102">
        <v>49</v>
      </c>
      <c r="B65" s="44" t="s">
        <v>61</v>
      </c>
      <c r="C65" s="108" t="s">
        <v>55</v>
      </c>
      <c r="D65" s="87">
        <v>7600000</v>
      </c>
      <c r="E65" s="45"/>
      <c r="F65" s="10">
        <v>2500000</v>
      </c>
      <c r="G65" s="10">
        <v>400000</v>
      </c>
      <c r="H65" s="56">
        <v>2500000</v>
      </c>
      <c r="I65" s="10">
        <f>2*2800000</f>
        <v>5600000</v>
      </c>
      <c r="J65" s="100">
        <f>2300000*2</f>
        <v>4600000</v>
      </c>
      <c r="K65" s="323">
        <f>SUM(D65:J65)</f>
        <v>23200000</v>
      </c>
      <c r="L65" s="208">
        <f>K65-E65-F65-G65</f>
        <v>20300000</v>
      </c>
      <c r="M65" s="58">
        <v>15500000</v>
      </c>
      <c r="N65" s="209">
        <v>2</v>
      </c>
      <c r="O65" s="209">
        <f t="shared" ref="O65:O75" si="91">N65*6200000</f>
        <v>12400000</v>
      </c>
      <c r="P65" s="145">
        <f t="shared" si="87"/>
        <v>7600000</v>
      </c>
      <c r="Q65" s="126">
        <f t="shared" ref="Q65:Q75" si="92">P65*17.5%</f>
        <v>1330000</v>
      </c>
      <c r="R65" s="40">
        <f t="shared" ref="R65:R75" si="93">P65*3%</f>
        <v>228000</v>
      </c>
      <c r="S65" s="126">
        <f t="shared" ref="S65:S75" si="94">P65*1%</f>
        <v>76000</v>
      </c>
      <c r="T65" s="148">
        <f t="shared" si="88"/>
        <v>1634000</v>
      </c>
      <c r="U65" s="137">
        <f t="shared" ref="U65:U75" si="95">P65*8%</f>
        <v>608000</v>
      </c>
      <c r="V65" s="137">
        <f t="shared" ref="V65:V75" si="96">P65*1.5%</f>
        <v>114000</v>
      </c>
      <c r="W65" s="137">
        <f t="shared" ref="W65:W75" si="97">P65*1%</f>
        <v>76000</v>
      </c>
      <c r="X65" s="148">
        <f t="shared" ref="X65:X75" si="98">SUM(U65:W65)</f>
        <v>798000</v>
      </c>
      <c r="Y65" s="145">
        <f t="shared" si="89"/>
        <v>-8398000</v>
      </c>
      <c r="Z65" s="145"/>
      <c r="AA65" s="337">
        <f t="shared" si="90"/>
        <v>22402000</v>
      </c>
      <c r="AB65" s="90"/>
    </row>
    <row r="66" spans="1:30" ht="20.100000000000001" customHeight="1" x14ac:dyDescent="0.25">
      <c r="A66" s="102">
        <v>50</v>
      </c>
      <c r="B66" s="44" t="s">
        <v>85</v>
      </c>
      <c r="C66" s="41" t="s">
        <v>123</v>
      </c>
      <c r="D66" s="17">
        <v>7600000</v>
      </c>
      <c r="E66" s="45"/>
      <c r="F66" s="10">
        <v>2500000</v>
      </c>
      <c r="G66" s="21">
        <v>400000</v>
      </c>
      <c r="H66" s="39">
        <v>2500000</v>
      </c>
      <c r="I66" s="10">
        <f>2*2500000</f>
        <v>5000000</v>
      </c>
      <c r="J66" s="100">
        <f>2000000*2</f>
        <v>4000000</v>
      </c>
      <c r="K66" s="323">
        <f>SUM(D66:J66)</f>
        <v>22000000</v>
      </c>
      <c r="L66" s="208">
        <f>K66-E66-F66-G66</f>
        <v>19100000</v>
      </c>
      <c r="M66" s="58">
        <v>15500000</v>
      </c>
      <c r="N66" s="56">
        <v>2</v>
      </c>
      <c r="O66" s="209">
        <f t="shared" si="91"/>
        <v>12400000</v>
      </c>
      <c r="P66" s="145">
        <f t="shared" si="87"/>
        <v>7600000</v>
      </c>
      <c r="Q66" s="125">
        <f t="shared" si="92"/>
        <v>1330000</v>
      </c>
      <c r="R66" s="16">
        <f t="shared" si="93"/>
        <v>228000</v>
      </c>
      <c r="S66" s="125">
        <f t="shared" si="94"/>
        <v>76000</v>
      </c>
      <c r="T66" s="144">
        <f t="shared" si="88"/>
        <v>1634000</v>
      </c>
      <c r="U66" s="126">
        <f t="shared" si="95"/>
        <v>608000</v>
      </c>
      <c r="V66" s="126">
        <f t="shared" si="96"/>
        <v>114000</v>
      </c>
      <c r="W66" s="126">
        <f t="shared" si="97"/>
        <v>76000</v>
      </c>
      <c r="X66" s="145">
        <f t="shared" si="98"/>
        <v>798000</v>
      </c>
      <c r="Y66" s="145">
        <f t="shared" si="89"/>
        <v>-9598000</v>
      </c>
      <c r="Z66" s="145"/>
      <c r="AA66" s="337">
        <f t="shared" si="90"/>
        <v>21202000</v>
      </c>
      <c r="AB66" s="32"/>
    </row>
    <row r="67" spans="1:30" ht="20.100000000000001" customHeight="1" x14ac:dyDescent="0.25">
      <c r="A67" s="102">
        <v>51</v>
      </c>
      <c r="B67" s="31" t="s">
        <v>64</v>
      </c>
      <c r="C67" s="41" t="s">
        <v>153</v>
      </c>
      <c r="D67" s="17">
        <v>6000000</v>
      </c>
      <c r="E67" s="45"/>
      <c r="F67" s="10">
        <v>2500000</v>
      </c>
      <c r="G67" s="10">
        <v>400000</v>
      </c>
      <c r="H67" s="56">
        <v>2500000</v>
      </c>
      <c r="I67" s="100">
        <f>2*2500000</f>
        <v>5000000</v>
      </c>
      <c r="J67" s="10">
        <f>2000000*2</f>
        <v>4000000</v>
      </c>
      <c r="K67" s="323">
        <f t="shared" ref="K67:K75" si="99">SUM(D67:J67)</f>
        <v>20400000</v>
      </c>
      <c r="L67" s="208">
        <f t="shared" ref="L67:L75" si="100">K67-E67-F67-G67</f>
        <v>17500000</v>
      </c>
      <c r="M67" s="58">
        <v>15500000</v>
      </c>
      <c r="N67" s="57">
        <v>1</v>
      </c>
      <c r="O67" s="209">
        <f t="shared" si="91"/>
        <v>6200000</v>
      </c>
      <c r="P67" s="145">
        <f t="shared" si="87"/>
        <v>6000000</v>
      </c>
      <c r="Q67" s="125">
        <f t="shared" si="92"/>
        <v>1050000</v>
      </c>
      <c r="R67" s="16">
        <f t="shared" si="93"/>
        <v>180000</v>
      </c>
      <c r="S67" s="126">
        <f t="shared" si="94"/>
        <v>60000</v>
      </c>
      <c r="T67" s="144">
        <f t="shared" si="88"/>
        <v>1290000</v>
      </c>
      <c r="U67" s="126">
        <f t="shared" si="95"/>
        <v>480000</v>
      </c>
      <c r="V67" s="126">
        <f t="shared" si="96"/>
        <v>90000</v>
      </c>
      <c r="W67" s="126">
        <f t="shared" si="97"/>
        <v>60000</v>
      </c>
      <c r="X67" s="145">
        <f t="shared" si="98"/>
        <v>630000</v>
      </c>
      <c r="Y67" s="145">
        <f t="shared" si="89"/>
        <v>-4830000</v>
      </c>
      <c r="Z67" s="145"/>
      <c r="AA67" s="337">
        <f t="shared" si="90"/>
        <v>19770000</v>
      </c>
      <c r="AB67" s="32"/>
    </row>
    <row r="68" spans="1:30" ht="20.100000000000001" customHeight="1" x14ac:dyDescent="0.25">
      <c r="A68" s="102">
        <v>52</v>
      </c>
      <c r="B68" s="31" t="s">
        <v>84</v>
      </c>
      <c r="C68" s="212" t="s">
        <v>124</v>
      </c>
      <c r="D68" s="222">
        <v>6000000</v>
      </c>
      <c r="E68" s="213"/>
      <c r="F68" s="224">
        <v>2500000</v>
      </c>
      <c r="G68" s="10">
        <v>400000</v>
      </c>
      <c r="H68" s="222">
        <v>2500000</v>
      </c>
      <c r="I68" s="228">
        <f>2*2500000</f>
        <v>5000000</v>
      </c>
      <c r="J68" s="224">
        <f>2000000*2</f>
        <v>4000000</v>
      </c>
      <c r="K68" s="312">
        <f t="shared" ref="K68" si="101">SUM(D68:J68)</f>
        <v>20400000</v>
      </c>
      <c r="L68" s="216">
        <f t="shared" si="100"/>
        <v>17500000</v>
      </c>
      <c r="M68" s="173">
        <v>15500000</v>
      </c>
      <c r="N68" s="213">
        <v>1</v>
      </c>
      <c r="O68" s="213">
        <f t="shared" si="91"/>
        <v>6200000</v>
      </c>
      <c r="P68" s="217">
        <f t="shared" si="87"/>
        <v>6000000</v>
      </c>
      <c r="Q68" s="218">
        <f t="shared" si="92"/>
        <v>1050000</v>
      </c>
      <c r="R68" s="219">
        <f t="shared" si="93"/>
        <v>180000</v>
      </c>
      <c r="S68" s="218">
        <f t="shared" si="94"/>
        <v>60000</v>
      </c>
      <c r="T68" s="220">
        <f t="shared" si="88"/>
        <v>1290000</v>
      </c>
      <c r="U68" s="225">
        <f t="shared" si="95"/>
        <v>480000</v>
      </c>
      <c r="V68" s="225">
        <f t="shared" si="96"/>
        <v>90000</v>
      </c>
      <c r="W68" s="225">
        <f t="shared" si="97"/>
        <v>60000</v>
      </c>
      <c r="X68" s="226">
        <f t="shared" si="98"/>
        <v>630000</v>
      </c>
      <c r="Y68" s="226">
        <f t="shared" si="89"/>
        <v>-4830000</v>
      </c>
      <c r="Z68" s="226"/>
      <c r="AA68" s="337">
        <f t="shared" si="90"/>
        <v>19770000</v>
      </c>
      <c r="AB68" s="32"/>
    </row>
    <row r="69" spans="1:30" s="28" customFormat="1" ht="20.100000000000001" customHeight="1" x14ac:dyDescent="0.25">
      <c r="A69" s="102">
        <v>53</v>
      </c>
      <c r="B69" s="227" t="s">
        <v>86</v>
      </c>
      <c r="C69" s="41" t="s">
        <v>125</v>
      </c>
      <c r="D69" s="17">
        <v>6000000</v>
      </c>
      <c r="E69" s="45"/>
      <c r="F69" s="10">
        <v>2500000</v>
      </c>
      <c r="G69" s="21">
        <v>400000</v>
      </c>
      <c r="H69" s="80">
        <v>2500000</v>
      </c>
      <c r="I69" s="10">
        <f>2*2200000</f>
        <v>4400000</v>
      </c>
      <c r="J69" s="10">
        <f>1800000*2</f>
        <v>3600000</v>
      </c>
      <c r="K69" s="323">
        <f t="shared" si="99"/>
        <v>19400000</v>
      </c>
      <c r="L69" s="208">
        <f t="shared" si="100"/>
        <v>16500000</v>
      </c>
      <c r="M69" s="58">
        <v>15500000</v>
      </c>
      <c r="N69" s="57">
        <v>1</v>
      </c>
      <c r="O69" s="209">
        <f t="shared" si="91"/>
        <v>6200000</v>
      </c>
      <c r="P69" s="145">
        <f t="shared" si="87"/>
        <v>6000000</v>
      </c>
      <c r="Q69" s="126">
        <f t="shared" si="92"/>
        <v>1050000</v>
      </c>
      <c r="R69" s="16">
        <f t="shared" si="93"/>
        <v>180000</v>
      </c>
      <c r="S69" s="126">
        <f t="shared" si="94"/>
        <v>60000</v>
      </c>
      <c r="T69" s="144">
        <f t="shared" si="88"/>
        <v>1290000</v>
      </c>
      <c r="U69" s="126">
        <f t="shared" si="95"/>
        <v>480000</v>
      </c>
      <c r="V69" s="126">
        <f t="shared" si="96"/>
        <v>90000</v>
      </c>
      <c r="W69" s="126">
        <f t="shared" si="97"/>
        <v>60000</v>
      </c>
      <c r="X69" s="145">
        <f t="shared" si="98"/>
        <v>630000</v>
      </c>
      <c r="Y69" s="145">
        <f t="shared" si="89"/>
        <v>-5830000</v>
      </c>
      <c r="Z69" s="145"/>
      <c r="AA69" s="337">
        <f t="shared" si="90"/>
        <v>18770000</v>
      </c>
      <c r="AB69" s="32"/>
    </row>
    <row r="70" spans="1:30" s="28" customFormat="1" ht="20.100000000000001" customHeight="1" x14ac:dyDescent="0.25">
      <c r="A70" s="102">
        <v>54</v>
      </c>
      <c r="B70" s="107" t="s">
        <v>148</v>
      </c>
      <c r="C70" s="41" t="s">
        <v>18</v>
      </c>
      <c r="D70" s="17">
        <v>6000000</v>
      </c>
      <c r="E70" s="45"/>
      <c r="F70" s="10">
        <v>2500000</v>
      </c>
      <c r="G70" s="21">
        <v>400000</v>
      </c>
      <c r="H70" s="80">
        <v>2500000</v>
      </c>
      <c r="I70" s="10">
        <f>2*2200000</f>
        <v>4400000</v>
      </c>
      <c r="J70" s="10">
        <f>1800000*2</f>
        <v>3600000</v>
      </c>
      <c r="K70" s="323">
        <f t="shared" si="99"/>
        <v>19400000</v>
      </c>
      <c r="L70" s="73">
        <f t="shared" si="100"/>
        <v>16500000</v>
      </c>
      <c r="M70" s="58">
        <v>15500000</v>
      </c>
      <c r="N70" s="303">
        <v>1</v>
      </c>
      <c r="O70" s="320">
        <f t="shared" si="91"/>
        <v>6200000</v>
      </c>
      <c r="P70" s="157">
        <v>6000000</v>
      </c>
      <c r="Q70" s="136">
        <f t="shared" si="92"/>
        <v>1050000</v>
      </c>
      <c r="R70" s="33">
        <f t="shared" si="93"/>
        <v>180000</v>
      </c>
      <c r="S70" s="136">
        <f t="shared" si="94"/>
        <v>60000</v>
      </c>
      <c r="T70" s="143">
        <f t="shared" si="88"/>
        <v>1290000</v>
      </c>
      <c r="U70" s="136">
        <f t="shared" si="95"/>
        <v>480000</v>
      </c>
      <c r="V70" s="136">
        <f t="shared" si="96"/>
        <v>90000</v>
      </c>
      <c r="W70" s="136">
        <f t="shared" si="97"/>
        <v>60000</v>
      </c>
      <c r="X70" s="143">
        <f t="shared" si="98"/>
        <v>630000</v>
      </c>
      <c r="Y70" s="145">
        <f t="shared" si="89"/>
        <v>-5830000</v>
      </c>
      <c r="Z70" s="145"/>
      <c r="AA70" s="337">
        <f t="shared" si="90"/>
        <v>18770000</v>
      </c>
      <c r="AB70" s="203"/>
      <c r="AD70" s="203"/>
    </row>
    <row r="71" spans="1:30" ht="20.100000000000001" customHeight="1" x14ac:dyDescent="0.25">
      <c r="A71" s="102">
        <v>55</v>
      </c>
      <c r="B71" s="31" t="s">
        <v>112</v>
      </c>
      <c r="C71" s="41" t="s">
        <v>37</v>
      </c>
      <c r="D71" s="17">
        <v>5000000</v>
      </c>
      <c r="E71" s="45"/>
      <c r="F71" s="10">
        <v>2500000</v>
      </c>
      <c r="G71" s="10">
        <v>400000</v>
      </c>
      <c r="H71" s="80">
        <v>2500000</v>
      </c>
      <c r="I71" s="10">
        <f>2*1500000</f>
        <v>3000000</v>
      </c>
      <c r="J71" s="10">
        <f>1000000*2</f>
        <v>2000000</v>
      </c>
      <c r="K71" s="323">
        <f t="shared" si="99"/>
        <v>15400000</v>
      </c>
      <c r="L71" s="208">
        <f t="shared" si="100"/>
        <v>12500000</v>
      </c>
      <c r="M71" s="58">
        <v>15500000</v>
      </c>
      <c r="N71" s="59"/>
      <c r="O71" s="264">
        <f t="shared" si="91"/>
        <v>0</v>
      </c>
      <c r="P71" s="144">
        <f>D71</f>
        <v>5000000</v>
      </c>
      <c r="Q71" s="125">
        <f t="shared" si="92"/>
        <v>875000</v>
      </c>
      <c r="R71" s="15">
        <f t="shared" si="93"/>
        <v>150000</v>
      </c>
      <c r="S71" s="126">
        <f t="shared" si="94"/>
        <v>50000</v>
      </c>
      <c r="T71" s="145">
        <f t="shared" si="88"/>
        <v>1075000</v>
      </c>
      <c r="U71" s="126">
        <f t="shared" si="95"/>
        <v>400000</v>
      </c>
      <c r="V71" s="126">
        <f t="shared" si="96"/>
        <v>75000</v>
      </c>
      <c r="W71" s="126">
        <f t="shared" si="97"/>
        <v>50000</v>
      </c>
      <c r="X71" s="145">
        <f t="shared" si="98"/>
        <v>525000</v>
      </c>
      <c r="Y71" s="145">
        <f t="shared" si="89"/>
        <v>-3525000</v>
      </c>
      <c r="Z71" s="145"/>
      <c r="AA71" s="337">
        <f t="shared" si="90"/>
        <v>14875000</v>
      </c>
      <c r="AB71" s="32"/>
    </row>
    <row r="72" spans="1:30" s="28" customFormat="1" ht="20.100000000000001" customHeight="1" x14ac:dyDescent="0.25">
      <c r="A72" s="102">
        <v>56</v>
      </c>
      <c r="B72" s="31" t="s">
        <v>96</v>
      </c>
      <c r="C72" s="41" t="s">
        <v>37</v>
      </c>
      <c r="D72" s="17">
        <v>5000000</v>
      </c>
      <c r="E72" s="45"/>
      <c r="F72" s="10">
        <v>2500000</v>
      </c>
      <c r="G72" s="21">
        <v>400000</v>
      </c>
      <c r="H72" s="80">
        <v>2500000</v>
      </c>
      <c r="I72" s="10">
        <f>2*1500000</f>
        <v>3000000</v>
      </c>
      <c r="J72" s="10">
        <f>1000000*2</f>
        <v>2000000</v>
      </c>
      <c r="K72" s="323">
        <f t="shared" si="99"/>
        <v>15400000</v>
      </c>
      <c r="L72" s="208">
        <f t="shared" si="100"/>
        <v>12500000</v>
      </c>
      <c r="M72" s="58">
        <v>15500000</v>
      </c>
      <c r="N72" s="56"/>
      <c r="O72" s="209">
        <f t="shared" si="91"/>
        <v>0</v>
      </c>
      <c r="P72" s="145">
        <f>D72</f>
        <v>5000000</v>
      </c>
      <c r="Q72" s="125">
        <f t="shared" si="92"/>
        <v>875000</v>
      </c>
      <c r="R72" s="16">
        <f t="shared" si="93"/>
        <v>150000</v>
      </c>
      <c r="S72" s="125">
        <f t="shared" si="94"/>
        <v>50000</v>
      </c>
      <c r="T72" s="144">
        <f t="shared" si="88"/>
        <v>1075000</v>
      </c>
      <c r="U72" s="125">
        <f>P72*8%</f>
        <v>400000</v>
      </c>
      <c r="V72" s="125">
        <f>P72*1.5%</f>
        <v>75000</v>
      </c>
      <c r="W72" s="125">
        <f>P72*1%</f>
        <v>50000</v>
      </c>
      <c r="X72" s="144">
        <f>SUM(U72:W72)</f>
        <v>525000</v>
      </c>
      <c r="Y72" s="145">
        <f t="shared" si="89"/>
        <v>-3525000</v>
      </c>
      <c r="Z72" s="145"/>
      <c r="AA72" s="337">
        <f t="shared" si="90"/>
        <v>14875000</v>
      </c>
      <c r="AB72" s="32"/>
    </row>
    <row r="73" spans="1:30" s="28" customFormat="1" ht="20.100000000000001" customHeight="1" x14ac:dyDescent="0.25">
      <c r="A73" s="102">
        <v>57</v>
      </c>
      <c r="B73" s="31" t="s">
        <v>149</v>
      </c>
      <c r="C73" s="41" t="s">
        <v>37</v>
      </c>
      <c r="D73" s="17">
        <v>5000000</v>
      </c>
      <c r="E73" s="17"/>
      <c r="F73" s="10">
        <v>2500000</v>
      </c>
      <c r="G73" s="10">
        <v>400000</v>
      </c>
      <c r="H73" s="56">
        <v>2500000</v>
      </c>
      <c r="I73" s="10">
        <f>2*1500000</f>
        <v>3000000</v>
      </c>
      <c r="J73" s="10">
        <f>1000000*2</f>
        <v>2000000</v>
      </c>
      <c r="K73" s="362">
        <f t="shared" si="99"/>
        <v>15400000</v>
      </c>
      <c r="L73" s="98">
        <f t="shared" si="100"/>
        <v>12500000</v>
      </c>
      <c r="M73" s="56">
        <v>15500000</v>
      </c>
      <c r="N73" s="276"/>
      <c r="O73" s="264">
        <f t="shared" si="91"/>
        <v>0</v>
      </c>
      <c r="P73" s="143"/>
      <c r="Q73" s="136"/>
      <c r="R73" s="33"/>
      <c r="S73" s="136"/>
      <c r="T73" s="143"/>
      <c r="U73" s="136"/>
      <c r="V73" s="136"/>
      <c r="W73" s="136"/>
      <c r="X73" s="143"/>
      <c r="Y73" s="145">
        <f t="shared" si="89"/>
        <v>-3000000</v>
      </c>
      <c r="Z73" s="277"/>
      <c r="AA73" s="337">
        <f t="shared" si="90"/>
        <v>15400000</v>
      </c>
      <c r="AB73" s="32"/>
    </row>
    <row r="74" spans="1:30" s="28" customFormat="1" ht="20.100000000000001" customHeight="1" x14ac:dyDescent="0.25">
      <c r="A74" s="102">
        <v>58</v>
      </c>
      <c r="B74" s="44" t="s">
        <v>58</v>
      </c>
      <c r="C74" s="41" t="s">
        <v>37</v>
      </c>
      <c r="D74" s="17">
        <v>5000000</v>
      </c>
      <c r="E74" s="17"/>
      <c r="F74" s="10">
        <v>2500000</v>
      </c>
      <c r="G74" s="10">
        <v>400000</v>
      </c>
      <c r="H74" s="56">
        <v>2500000</v>
      </c>
      <c r="I74" s="10">
        <f>2*1500000</f>
        <v>3000000</v>
      </c>
      <c r="J74" s="10">
        <f>1000000*2</f>
        <v>2000000</v>
      </c>
      <c r="K74" s="326">
        <f t="shared" si="99"/>
        <v>15400000</v>
      </c>
      <c r="L74" s="275">
        <f t="shared" si="100"/>
        <v>12500000</v>
      </c>
      <c r="M74" s="56">
        <v>15500000</v>
      </c>
      <c r="N74" s="56"/>
      <c r="O74" s="264">
        <f t="shared" si="91"/>
        <v>0</v>
      </c>
      <c r="P74" s="144">
        <f>D74</f>
        <v>5000000</v>
      </c>
      <c r="Q74" s="125">
        <f t="shared" si="92"/>
        <v>875000</v>
      </c>
      <c r="R74" s="16">
        <f t="shared" si="93"/>
        <v>150000</v>
      </c>
      <c r="S74" s="125">
        <f t="shared" si="94"/>
        <v>50000</v>
      </c>
      <c r="T74" s="144">
        <f t="shared" si="88"/>
        <v>1075000</v>
      </c>
      <c r="U74" s="125">
        <f t="shared" ref="U74" si="102">P74*8%</f>
        <v>400000</v>
      </c>
      <c r="V74" s="125">
        <f t="shared" ref="V74" si="103">P74*1.5%</f>
        <v>75000</v>
      </c>
      <c r="W74" s="125">
        <f t="shared" ref="W74" si="104">P74*1%</f>
        <v>50000</v>
      </c>
      <c r="X74" s="144">
        <f t="shared" ref="X74" si="105">SUM(U74:W74)</f>
        <v>525000</v>
      </c>
      <c r="Y74" s="145">
        <f t="shared" si="89"/>
        <v>-3525000</v>
      </c>
      <c r="Z74" s="145"/>
      <c r="AA74" s="337">
        <f t="shared" si="90"/>
        <v>14875000</v>
      </c>
      <c r="AB74" s="32"/>
    </row>
    <row r="75" spans="1:30" s="28" customFormat="1" ht="20.100000000000001" customHeight="1" x14ac:dyDescent="0.25">
      <c r="A75" s="102">
        <v>59</v>
      </c>
      <c r="B75" s="313" t="s">
        <v>93</v>
      </c>
      <c r="C75" s="314" t="s">
        <v>95</v>
      </c>
      <c r="D75" s="317">
        <v>5000000</v>
      </c>
      <c r="E75" s="317"/>
      <c r="F75" s="318">
        <v>2500000</v>
      </c>
      <c r="G75" s="318">
        <v>400000</v>
      </c>
      <c r="H75" s="319">
        <v>2500000</v>
      </c>
      <c r="I75" s="119">
        <f>2*1500000</f>
        <v>3000000</v>
      </c>
      <c r="J75" s="119">
        <f>1000000*2</f>
        <v>2000000</v>
      </c>
      <c r="K75" s="323">
        <f t="shared" si="99"/>
        <v>15400000</v>
      </c>
      <c r="L75" s="208">
        <f t="shared" si="100"/>
        <v>12500000</v>
      </c>
      <c r="M75" s="58">
        <v>15500000</v>
      </c>
      <c r="N75" s="182"/>
      <c r="O75" s="209">
        <f t="shared" si="91"/>
        <v>0</v>
      </c>
      <c r="P75" s="186">
        <v>0</v>
      </c>
      <c r="Q75" s="185">
        <f t="shared" si="92"/>
        <v>0</v>
      </c>
      <c r="R75" s="165">
        <f t="shared" si="93"/>
        <v>0</v>
      </c>
      <c r="S75" s="164">
        <f t="shared" si="94"/>
        <v>0</v>
      </c>
      <c r="T75" s="158">
        <f t="shared" si="88"/>
        <v>0</v>
      </c>
      <c r="U75" s="185">
        <f t="shared" si="95"/>
        <v>0</v>
      </c>
      <c r="V75" s="185">
        <f t="shared" si="96"/>
        <v>0</v>
      </c>
      <c r="W75" s="185">
        <f t="shared" si="97"/>
        <v>0</v>
      </c>
      <c r="X75" s="186">
        <f t="shared" si="98"/>
        <v>0</v>
      </c>
      <c r="Y75" s="145">
        <f t="shared" si="89"/>
        <v>-3000000</v>
      </c>
      <c r="Z75" s="147"/>
      <c r="AA75" s="337">
        <f t="shared" si="90"/>
        <v>15400000</v>
      </c>
      <c r="AB75" s="32"/>
    </row>
    <row r="76" spans="1:30" s="28" customFormat="1" ht="20.100000000000001" customHeight="1" x14ac:dyDescent="0.25">
      <c r="A76" s="47"/>
      <c r="B76" s="48" t="s">
        <v>11</v>
      </c>
      <c r="C76" s="49"/>
      <c r="D76" s="19">
        <f t="shared" ref="D76:N76" si="106">SUM(D64:D75)</f>
        <v>74700000</v>
      </c>
      <c r="E76" s="19">
        <f t="shared" si="106"/>
        <v>0</v>
      </c>
      <c r="F76" s="19">
        <f t="shared" si="106"/>
        <v>30000000</v>
      </c>
      <c r="G76" s="19">
        <f t="shared" si="106"/>
        <v>4800000</v>
      </c>
      <c r="H76" s="19">
        <f t="shared" si="106"/>
        <v>30000000</v>
      </c>
      <c r="I76" s="19">
        <f t="shared" si="106"/>
        <v>51400000</v>
      </c>
      <c r="J76" s="19">
        <f t="shared" si="106"/>
        <v>39800000</v>
      </c>
      <c r="K76" s="131">
        <f t="shared" si="106"/>
        <v>230700000</v>
      </c>
      <c r="L76" s="19">
        <f t="shared" si="106"/>
        <v>195900000</v>
      </c>
      <c r="M76" s="19">
        <f t="shared" si="106"/>
        <v>186000000</v>
      </c>
      <c r="N76" s="19">
        <f t="shared" si="106"/>
        <v>10</v>
      </c>
      <c r="O76" s="19"/>
      <c r="P76" s="19">
        <f t="shared" ref="P76:X76" si="107">SUM(P64:P75)</f>
        <v>64700000</v>
      </c>
      <c r="Q76" s="19">
        <f t="shared" si="107"/>
        <v>11322500</v>
      </c>
      <c r="R76" s="19">
        <f t="shared" si="107"/>
        <v>1941000</v>
      </c>
      <c r="S76" s="19">
        <f t="shared" si="107"/>
        <v>647000</v>
      </c>
      <c r="T76" s="19">
        <f t="shared" si="107"/>
        <v>13910500</v>
      </c>
      <c r="U76" s="19">
        <f t="shared" si="107"/>
        <v>5176000</v>
      </c>
      <c r="V76" s="19">
        <f t="shared" si="107"/>
        <v>970500</v>
      </c>
      <c r="W76" s="19">
        <f t="shared" si="107"/>
        <v>647000</v>
      </c>
      <c r="X76" s="19">
        <f t="shared" si="107"/>
        <v>6793500</v>
      </c>
      <c r="Y76" s="19"/>
      <c r="Z76" s="19">
        <f>SUM(Z64:Z75)</f>
        <v>0</v>
      </c>
      <c r="AA76" s="368">
        <f>SUM(AA64:AA75)</f>
        <v>223906500</v>
      </c>
      <c r="AB76" s="32">
        <f>X76-X74</f>
        <v>6268500</v>
      </c>
    </row>
    <row r="77" spans="1:30" s="28" customFormat="1" ht="20.100000000000001" customHeight="1" x14ac:dyDescent="0.25">
      <c r="A77" s="37" t="s">
        <v>27</v>
      </c>
      <c r="B77" s="38" t="s">
        <v>21</v>
      </c>
      <c r="C77" s="273"/>
      <c r="D77" s="13"/>
      <c r="E77" s="13"/>
      <c r="F77" s="13"/>
      <c r="G77" s="274"/>
      <c r="H77" s="13"/>
      <c r="I77" s="13"/>
      <c r="J77" s="243" t="s">
        <v>115</v>
      </c>
      <c r="K77" s="243"/>
      <c r="L77" s="13">
        <f>K76-F76-G76</f>
        <v>195900000</v>
      </c>
      <c r="M77" s="174"/>
      <c r="N77" s="174"/>
      <c r="O77" s="174"/>
      <c r="P77" s="243"/>
      <c r="Q77" s="243"/>
      <c r="R77" s="13"/>
      <c r="S77" s="243"/>
      <c r="T77" s="243"/>
      <c r="U77" s="243"/>
      <c r="V77" s="243"/>
      <c r="W77" s="243"/>
      <c r="X77" s="243"/>
      <c r="Y77" s="243"/>
      <c r="Z77" s="243"/>
      <c r="AA77" s="367"/>
      <c r="AB77" s="90">
        <f>AB76-'[4]09'!$F$18</f>
        <v>0</v>
      </c>
    </row>
    <row r="78" spans="1:30" s="105" customFormat="1" ht="20.100000000000001" customHeight="1" x14ac:dyDescent="0.25">
      <c r="A78" s="271">
        <v>60</v>
      </c>
      <c r="B78" s="251" t="s">
        <v>114</v>
      </c>
      <c r="C78" s="193" t="s">
        <v>54</v>
      </c>
      <c r="D78" s="338">
        <v>10500000</v>
      </c>
      <c r="E78" s="338"/>
      <c r="F78" s="103">
        <v>2500000</v>
      </c>
      <c r="G78" s="267">
        <v>400000</v>
      </c>
      <c r="H78" s="266">
        <v>2500000</v>
      </c>
      <c r="I78" s="103">
        <f>3*3500000</f>
        <v>10500000</v>
      </c>
      <c r="J78" s="267">
        <f>3000000*3</f>
        <v>9000000</v>
      </c>
      <c r="K78" s="355">
        <f t="shared" ref="K78:K88" si="108">SUM(D78:J78)</f>
        <v>35400000</v>
      </c>
      <c r="L78" s="208">
        <f t="shared" ref="L78:L88" si="109">K78-E78-F78-G78</f>
        <v>32500000</v>
      </c>
      <c r="M78" s="263">
        <v>15500000</v>
      </c>
      <c r="N78" s="209">
        <v>2</v>
      </c>
      <c r="O78" s="209">
        <f>N78*6200000</f>
        <v>12400000</v>
      </c>
      <c r="P78" s="145">
        <f>D78</f>
        <v>10500000</v>
      </c>
      <c r="Q78" s="127">
        <f t="shared" ref="Q78:Q83" si="110">P78*17.5%</f>
        <v>1837499.9999999998</v>
      </c>
      <c r="R78" s="100">
        <f t="shared" ref="R78:R87" si="111">P78*3%</f>
        <v>315000</v>
      </c>
      <c r="S78" s="127">
        <f t="shared" ref="S78:S87" si="112">P78*1%</f>
        <v>105000</v>
      </c>
      <c r="T78" s="272">
        <f>SUM(Q78:S78)</f>
        <v>2257500</v>
      </c>
      <c r="U78" s="127">
        <f t="shared" ref="U78:U87" si="113">P78*8%</f>
        <v>840000</v>
      </c>
      <c r="V78" s="127">
        <f t="shared" ref="V78:V87" si="114">P78*1.5%</f>
        <v>157500</v>
      </c>
      <c r="W78" s="127">
        <f t="shared" ref="W78:W87" si="115">P78*1%</f>
        <v>105000</v>
      </c>
      <c r="X78" s="272">
        <f>SUM(U78:W78)</f>
        <v>1102500</v>
      </c>
      <c r="Y78" s="145">
        <f t="shared" ref="Y78:Y88" si="116">L78-M78-O78-X78</f>
        <v>3497500</v>
      </c>
      <c r="Z78" s="272">
        <f>Y78*5%</f>
        <v>174875</v>
      </c>
      <c r="AA78" s="337">
        <f t="shared" ref="AA78:AA88" si="117">K78-X78-Z78</f>
        <v>34122625</v>
      </c>
      <c r="AB78" s="202"/>
      <c r="AC78" s="238"/>
    </row>
    <row r="79" spans="1:30" s="105" customFormat="1" ht="20.100000000000001" customHeight="1" x14ac:dyDescent="0.25">
      <c r="A79" s="93">
        <v>61</v>
      </c>
      <c r="B79" s="44" t="s">
        <v>91</v>
      </c>
      <c r="C79" s="200" t="s">
        <v>55</v>
      </c>
      <c r="D79" s="100">
        <v>7600000</v>
      </c>
      <c r="E79" s="198"/>
      <c r="F79" s="192">
        <v>2500000</v>
      </c>
      <c r="G79" s="267">
        <v>400000</v>
      </c>
      <c r="H79" s="201">
        <v>2500000</v>
      </c>
      <c r="I79" s="192">
        <f>3*2500000</f>
        <v>7500000</v>
      </c>
      <c r="J79" s="192">
        <f>2000000*3</f>
        <v>6000000</v>
      </c>
      <c r="K79" s="355">
        <f t="shared" si="108"/>
        <v>26500000</v>
      </c>
      <c r="L79" s="275">
        <f t="shared" si="109"/>
        <v>23600000</v>
      </c>
      <c r="M79" s="263">
        <v>15500000</v>
      </c>
      <c r="N79" s="264">
        <v>1</v>
      </c>
      <c r="O79" s="209">
        <f t="shared" ref="O79:O88" si="118">N79*6200000</f>
        <v>6200000</v>
      </c>
      <c r="P79" s="145">
        <v>0</v>
      </c>
      <c r="Q79" s="127">
        <f t="shared" si="110"/>
        <v>0</v>
      </c>
      <c r="R79" s="100">
        <f t="shared" si="111"/>
        <v>0</v>
      </c>
      <c r="S79" s="127">
        <f t="shared" si="112"/>
        <v>0</v>
      </c>
      <c r="T79" s="146">
        <f t="shared" ref="T79:T87" si="119">SUM(Q79:S79)</f>
        <v>0</v>
      </c>
      <c r="U79" s="127">
        <f t="shared" si="113"/>
        <v>0</v>
      </c>
      <c r="V79" s="127">
        <f t="shared" si="114"/>
        <v>0</v>
      </c>
      <c r="W79" s="127">
        <f t="shared" si="115"/>
        <v>0</v>
      </c>
      <c r="X79" s="146">
        <f t="shared" ref="X79:X87" si="120">SUM(U79:W79)</f>
        <v>0</v>
      </c>
      <c r="Y79" s="145">
        <f t="shared" si="116"/>
        <v>1900000</v>
      </c>
      <c r="Z79" s="272">
        <f t="shared" ref="Z79:Z82" si="121">Y79*5%</f>
        <v>95000</v>
      </c>
      <c r="AA79" s="337">
        <f t="shared" si="117"/>
        <v>26405000</v>
      </c>
      <c r="AB79" s="202"/>
      <c r="AC79" s="238"/>
    </row>
    <row r="80" spans="1:30" s="105" customFormat="1" ht="20.100000000000001" customHeight="1" x14ac:dyDescent="0.25">
      <c r="A80" s="271">
        <v>62</v>
      </c>
      <c r="B80" s="44" t="s">
        <v>67</v>
      </c>
      <c r="C80" s="95" t="s">
        <v>72</v>
      </c>
      <c r="D80" s="100">
        <v>7600000</v>
      </c>
      <c r="E80" s="198"/>
      <c r="F80" s="100">
        <v>2500000</v>
      </c>
      <c r="G80" s="100">
        <v>400000</v>
      </c>
      <c r="H80" s="197">
        <v>2500000</v>
      </c>
      <c r="I80" s="100">
        <f>3*2500000</f>
        <v>7500000</v>
      </c>
      <c r="J80" s="192">
        <f>2000000*3</f>
        <v>6000000</v>
      </c>
      <c r="K80" s="355">
        <f t="shared" si="108"/>
        <v>26500000</v>
      </c>
      <c r="L80" s="275">
        <f t="shared" si="109"/>
        <v>23600000</v>
      </c>
      <c r="M80" s="263">
        <v>15500000</v>
      </c>
      <c r="N80" s="264">
        <v>2</v>
      </c>
      <c r="O80" s="209">
        <f t="shared" si="118"/>
        <v>12400000</v>
      </c>
      <c r="P80" s="145">
        <f>D80</f>
        <v>7600000</v>
      </c>
      <c r="Q80" s="127">
        <f t="shared" si="110"/>
        <v>1330000</v>
      </c>
      <c r="R80" s="100">
        <f t="shared" si="111"/>
        <v>228000</v>
      </c>
      <c r="S80" s="127">
        <f t="shared" si="112"/>
        <v>76000</v>
      </c>
      <c r="T80" s="146">
        <f t="shared" si="119"/>
        <v>1634000</v>
      </c>
      <c r="U80" s="127">
        <f t="shared" si="113"/>
        <v>608000</v>
      </c>
      <c r="V80" s="127">
        <f t="shared" si="114"/>
        <v>114000</v>
      </c>
      <c r="W80" s="127">
        <f t="shared" si="115"/>
        <v>76000</v>
      </c>
      <c r="X80" s="146">
        <f t="shared" si="120"/>
        <v>798000</v>
      </c>
      <c r="Y80" s="145">
        <f t="shared" si="116"/>
        <v>-5098000</v>
      </c>
      <c r="Z80" s="272"/>
      <c r="AA80" s="337">
        <f t="shared" si="117"/>
        <v>25702000</v>
      </c>
      <c r="AB80" s="202"/>
    </row>
    <row r="81" spans="1:29" s="105" customFormat="1" ht="20.100000000000001" customHeight="1" x14ac:dyDescent="0.25">
      <c r="A81" s="93">
        <v>63</v>
      </c>
      <c r="B81" s="44" t="s">
        <v>51</v>
      </c>
      <c r="C81" s="108" t="s">
        <v>124</v>
      </c>
      <c r="D81" s="100">
        <v>6000000</v>
      </c>
      <c r="E81" s="198"/>
      <c r="F81" s="100">
        <f>2500000</f>
        <v>2500000</v>
      </c>
      <c r="G81" s="100">
        <v>400000</v>
      </c>
      <c r="H81" s="201">
        <f>2500000</f>
        <v>2500000</v>
      </c>
      <c r="I81" s="100">
        <f>3*2500000</f>
        <v>7500000</v>
      </c>
      <c r="J81" s="192">
        <f>2000000*3</f>
        <v>6000000</v>
      </c>
      <c r="K81" s="355">
        <f t="shared" si="108"/>
        <v>24900000</v>
      </c>
      <c r="L81" s="275">
        <f t="shared" si="109"/>
        <v>22000000</v>
      </c>
      <c r="M81" s="263">
        <v>15500000</v>
      </c>
      <c r="N81" s="264">
        <v>1</v>
      </c>
      <c r="O81" s="209">
        <f t="shared" si="118"/>
        <v>6200000</v>
      </c>
      <c r="P81" s="145">
        <f>D81</f>
        <v>6000000</v>
      </c>
      <c r="Q81" s="127">
        <f t="shared" si="110"/>
        <v>1050000</v>
      </c>
      <c r="R81" s="100">
        <f t="shared" si="111"/>
        <v>180000</v>
      </c>
      <c r="S81" s="127">
        <f t="shared" si="112"/>
        <v>60000</v>
      </c>
      <c r="T81" s="146">
        <f t="shared" si="119"/>
        <v>1290000</v>
      </c>
      <c r="U81" s="127">
        <f t="shared" si="113"/>
        <v>480000</v>
      </c>
      <c r="V81" s="127">
        <f t="shared" si="114"/>
        <v>90000</v>
      </c>
      <c r="W81" s="127">
        <f t="shared" si="115"/>
        <v>60000</v>
      </c>
      <c r="X81" s="146">
        <f t="shared" si="120"/>
        <v>630000</v>
      </c>
      <c r="Y81" s="145">
        <f t="shared" si="116"/>
        <v>-330000</v>
      </c>
      <c r="Z81" s="272"/>
      <c r="AA81" s="337">
        <f t="shared" si="117"/>
        <v>24270000</v>
      </c>
      <c r="AB81" s="202"/>
    </row>
    <row r="82" spans="1:29" s="105" customFormat="1" ht="20.100000000000001" customHeight="1" x14ac:dyDescent="0.25">
      <c r="A82" s="271">
        <v>64</v>
      </c>
      <c r="B82" s="44" t="s">
        <v>90</v>
      </c>
      <c r="C82" s="108" t="s">
        <v>129</v>
      </c>
      <c r="D82" s="100">
        <v>5000000</v>
      </c>
      <c r="E82" s="198"/>
      <c r="F82" s="100">
        <v>2500000</v>
      </c>
      <c r="G82" s="192">
        <v>400000</v>
      </c>
      <c r="H82" s="197">
        <v>2500000</v>
      </c>
      <c r="I82" s="100">
        <f>3*2200000</f>
        <v>6600000</v>
      </c>
      <c r="J82" s="192">
        <f>1800000*3</f>
        <v>5400000</v>
      </c>
      <c r="K82" s="355">
        <f t="shared" ref="K82" si="122">SUM(D82:J82)</f>
        <v>22400000</v>
      </c>
      <c r="L82" s="275">
        <f t="shared" si="109"/>
        <v>19500000</v>
      </c>
      <c r="M82" s="263">
        <v>15500000</v>
      </c>
      <c r="N82" s="264"/>
      <c r="O82" s="209">
        <f t="shared" si="118"/>
        <v>0</v>
      </c>
      <c r="P82" s="145"/>
      <c r="Q82" s="125">
        <f t="shared" si="110"/>
        <v>0</v>
      </c>
      <c r="R82" s="16">
        <f t="shared" si="111"/>
        <v>0</v>
      </c>
      <c r="S82" s="125">
        <f t="shared" si="112"/>
        <v>0</v>
      </c>
      <c r="T82" s="145">
        <f t="shared" ref="T82" si="123">SUM(Q82:S82)</f>
        <v>0</v>
      </c>
      <c r="U82" s="126">
        <f t="shared" si="113"/>
        <v>0</v>
      </c>
      <c r="V82" s="126">
        <f t="shared" si="114"/>
        <v>0</v>
      </c>
      <c r="W82" s="126">
        <f t="shared" si="115"/>
        <v>0</v>
      </c>
      <c r="X82" s="145">
        <f t="shared" si="120"/>
        <v>0</v>
      </c>
      <c r="Y82" s="145">
        <f t="shared" si="116"/>
        <v>4000000</v>
      </c>
      <c r="Z82" s="272">
        <f t="shared" si="121"/>
        <v>200000</v>
      </c>
      <c r="AA82" s="337">
        <f t="shared" si="117"/>
        <v>22200000</v>
      </c>
      <c r="AB82" s="202"/>
    </row>
    <row r="83" spans="1:29" s="105" customFormat="1" ht="20.100000000000001" customHeight="1" x14ac:dyDescent="0.25">
      <c r="A83" s="93">
        <v>65</v>
      </c>
      <c r="B83" s="31" t="s">
        <v>62</v>
      </c>
      <c r="C83" s="41" t="s">
        <v>37</v>
      </c>
      <c r="D83" s="100">
        <v>5000000</v>
      </c>
      <c r="E83" s="17"/>
      <c r="F83" s="10">
        <v>2500000</v>
      </c>
      <c r="G83" s="10">
        <v>400000</v>
      </c>
      <c r="H83" s="80">
        <v>2500000</v>
      </c>
      <c r="I83" s="10">
        <f>3*1500000</f>
        <v>4500000</v>
      </c>
      <c r="J83" s="10">
        <f>3*1000000</f>
        <v>3000000</v>
      </c>
      <c r="K83" s="356">
        <f t="shared" si="108"/>
        <v>17900000</v>
      </c>
      <c r="L83" s="98">
        <f t="shared" si="109"/>
        <v>15000000</v>
      </c>
      <c r="M83" s="58">
        <v>15500000</v>
      </c>
      <c r="N83" s="59"/>
      <c r="O83" s="57">
        <f t="shared" si="118"/>
        <v>0</v>
      </c>
      <c r="P83" s="145">
        <f>D83</f>
        <v>5000000</v>
      </c>
      <c r="Q83" s="132">
        <f t="shared" si="110"/>
        <v>875000</v>
      </c>
      <c r="R83" s="100">
        <f t="shared" si="111"/>
        <v>150000</v>
      </c>
      <c r="S83" s="127">
        <f t="shared" si="112"/>
        <v>50000</v>
      </c>
      <c r="T83" s="146">
        <f t="shared" si="119"/>
        <v>1075000</v>
      </c>
      <c r="U83" s="127">
        <f t="shared" si="113"/>
        <v>400000</v>
      </c>
      <c r="V83" s="127">
        <f t="shared" si="114"/>
        <v>75000</v>
      </c>
      <c r="W83" s="127">
        <f t="shared" si="115"/>
        <v>50000</v>
      </c>
      <c r="X83" s="146">
        <f t="shared" si="120"/>
        <v>525000</v>
      </c>
      <c r="Y83" s="145">
        <f t="shared" si="116"/>
        <v>-1025000</v>
      </c>
      <c r="Z83" s="272"/>
      <c r="AA83" s="337">
        <f t="shared" si="117"/>
        <v>17375000</v>
      </c>
      <c r="AB83" s="202"/>
    </row>
    <row r="84" spans="1:29" s="105" customFormat="1" ht="20.100000000000001" customHeight="1" x14ac:dyDescent="0.25">
      <c r="A84" s="271">
        <v>66</v>
      </c>
      <c r="B84" s="31" t="s">
        <v>77</v>
      </c>
      <c r="C84" s="41" t="s">
        <v>37</v>
      </c>
      <c r="D84" s="100">
        <v>5000000</v>
      </c>
      <c r="E84" s="17"/>
      <c r="F84" s="10">
        <v>2500000</v>
      </c>
      <c r="G84" s="10">
        <v>400000</v>
      </c>
      <c r="H84" s="56">
        <v>2500000</v>
      </c>
      <c r="I84" s="10">
        <f>3*1500000</f>
        <v>4500000</v>
      </c>
      <c r="J84" s="10">
        <f>3*1000000</f>
        <v>3000000</v>
      </c>
      <c r="K84" s="356">
        <f t="shared" si="108"/>
        <v>17900000</v>
      </c>
      <c r="L84" s="98">
        <f t="shared" si="109"/>
        <v>15000000</v>
      </c>
      <c r="M84" s="58">
        <v>15500000</v>
      </c>
      <c r="N84" s="182">
        <v>1</v>
      </c>
      <c r="O84" s="57">
        <f t="shared" si="118"/>
        <v>6200000</v>
      </c>
      <c r="P84" s="145">
        <f>D84</f>
        <v>5000000</v>
      </c>
      <c r="Q84" s="133">
        <f>P84*17.5%</f>
        <v>875000</v>
      </c>
      <c r="R84" s="103">
        <f t="shared" si="111"/>
        <v>150000</v>
      </c>
      <c r="S84" s="127">
        <f t="shared" si="112"/>
        <v>50000</v>
      </c>
      <c r="T84" s="146">
        <f t="shared" si="119"/>
        <v>1075000</v>
      </c>
      <c r="U84" s="127">
        <f t="shared" si="113"/>
        <v>400000</v>
      </c>
      <c r="V84" s="127">
        <f t="shared" si="114"/>
        <v>75000</v>
      </c>
      <c r="W84" s="127">
        <f t="shared" si="115"/>
        <v>50000</v>
      </c>
      <c r="X84" s="146">
        <f t="shared" si="120"/>
        <v>525000</v>
      </c>
      <c r="Y84" s="145">
        <f t="shared" si="116"/>
        <v>-7225000</v>
      </c>
      <c r="Z84" s="272"/>
      <c r="AA84" s="337">
        <f t="shared" si="117"/>
        <v>17375000</v>
      </c>
      <c r="AB84" s="202"/>
    </row>
    <row r="85" spans="1:29" s="105" customFormat="1" ht="20.100000000000001" customHeight="1" x14ac:dyDescent="0.25">
      <c r="A85" s="93">
        <v>67</v>
      </c>
      <c r="B85" s="211" t="s">
        <v>109</v>
      </c>
      <c r="C85" s="41" t="s">
        <v>154</v>
      </c>
      <c r="D85" s="100">
        <v>5000000</v>
      </c>
      <c r="E85" s="17"/>
      <c r="F85" s="10">
        <v>2500000</v>
      </c>
      <c r="G85" s="10">
        <v>400000</v>
      </c>
      <c r="H85" s="80">
        <v>2500000</v>
      </c>
      <c r="I85" s="10">
        <f>3*2200000</f>
        <v>6600000</v>
      </c>
      <c r="J85" s="10">
        <f>3*1800000</f>
        <v>5400000</v>
      </c>
      <c r="K85" s="356">
        <f t="shared" si="108"/>
        <v>22400000</v>
      </c>
      <c r="L85" s="98">
        <f t="shared" si="109"/>
        <v>19500000</v>
      </c>
      <c r="M85" s="58">
        <v>15500000</v>
      </c>
      <c r="N85" s="59">
        <v>1</v>
      </c>
      <c r="O85" s="57">
        <f t="shared" si="118"/>
        <v>6200000</v>
      </c>
      <c r="P85" s="145">
        <f>D85</f>
        <v>5000000</v>
      </c>
      <c r="Q85" s="125">
        <f t="shared" ref="Q85:Q87" si="124">P85*17.5%</f>
        <v>875000</v>
      </c>
      <c r="R85" s="16">
        <f t="shared" si="111"/>
        <v>150000</v>
      </c>
      <c r="S85" s="125">
        <f t="shared" si="112"/>
        <v>50000</v>
      </c>
      <c r="T85" s="145">
        <f t="shared" si="119"/>
        <v>1075000</v>
      </c>
      <c r="U85" s="126">
        <f t="shared" si="113"/>
        <v>400000</v>
      </c>
      <c r="V85" s="126">
        <f t="shared" si="114"/>
        <v>75000</v>
      </c>
      <c r="W85" s="126">
        <f t="shared" si="115"/>
        <v>50000</v>
      </c>
      <c r="X85" s="145">
        <f t="shared" si="120"/>
        <v>525000</v>
      </c>
      <c r="Y85" s="145">
        <f t="shared" si="116"/>
        <v>-2725000</v>
      </c>
      <c r="Z85" s="145"/>
      <c r="AA85" s="337">
        <f t="shared" si="117"/>
        <v>21875000</v>
      </c>
      <c r="AB85" s="203"/>
    </row>
    <row r="86" spans="1:29" s="105" customFormat="1" ht="20.100000000000001" customHeight="1" x14ac:dyDescent="0.25">
      <c r="A86" s="271">
        <v>68</v>
      </c>
      <c r="B86" s="44" t="s">
        <v>97</v>
      </c>
      <c r="C86" s="41" t="s">
        <v>56</v>
      </c>
      <c r="D86" s="100">
        <v>5000000</v>
      </c>
      <c r="E86" s="17"/>
      <c r="F86" s="10">
        <v>2500000</v>
      </c>
      <c r="G86" s="10">
        <v>400000</v>
      </c>
      <c r="H86" s="56">
        <v>2500000</v>
      </c>
      <c r="I86" s="10">
        <f>3*1500000</f>
        <v>4500000</v>
      </c>
      <c r="J86" s="10">
        <f>3*1000000</f>
        <v>3000000</v>
      </c>
      <c r="K86" s="356">
        <f t="shared" si="108"/>
        <v>17900000</v>
      </c>
      <c r="L86" s="98">
        <f t="shared" si="109"/>
        <v>15000000</v>
      </c>
      <c r="M86" s="58">
        <v>15500000</v>
      </c>
      <c r="N86" s="59"/>
      <c r="O86" s="57">
        <f t="shared" si="118"/>
        <v>0</v>
      </c>
      <c r="P86" s="145">
        <f>D86</f>
        <v>5000000</v>
      </c>
      <c r="Q86" s="125">
        <f t="shared" si="124"/>
        <v>875000</v>
      </c>
      <c r="R86" s="16">
        <f t="shared" si="111"/>
        <v>150000</v>
      </c>
      <c r="S86" s="125">
        <f t="shared" si="112"/>
        <v>50000</v>
      </c>
      <c r="T86" s="145">
        <f t="shared" si="119"/>
        <v>1075000</v>
      </c>
      <c r="U86" s="126">
        <f t="shared" si="113"/>
        <v>400000</v>
      </c>
      <c r="V86" s="126">
        <f t="shared" si="114"/>
        <v>75000</v>
      </c>
      <c r="W86" s="126">
        <f t="shared" si="115"/>
        <v>50000</v>
      </c>
      <c r="X86" s="145">
        <f t="shared" si="120"/>
        <v>525000</v>
      </c>
      <c r="Y86" s="145">
        <f t="shared" si="116"/>
        <v>-1025000</v>
      </c>
      <c r="Z86" s="145"/>
      <c r="AA86" s="337">
        <f t="shared" si="117"/>
        <v>17375000</v>
      </c>
      <c r="AB86" s="203"/>
    </row>
    <row r="87" spans="1:29" s="105" customFormat="1" ht="20.100000000000001" customHeight="1" x14ac:dyDescent="0.25">
      <c r="A87" s="93">
        <v>69</v>
      </c>
      <c r="B87" s="44" t="s">
        <v>122</v>
      </c>
      <c r="C87" s="41" t="s">
        <v>37</v>
      </c>
      <c r="D87" s="100">
        <v>5000000</v>
      </c>
      <c r="E87" s="17"/>
      <c r="F87" s="10">
        <v>2500000</v>
      </c>
      <c r="G87" s="10">
        <v>400000</v>
      </c>
      <c r="H87" s="56">
        <v>2500000</v>
      </c>
      <c r="I87" s="10">
        <f>3*1500000</f>
        <v>4500000</v>
      </c>
      <c r="J87" s="10">
        <f>3*1000000</f>
        <v>3000000</v>
      </c>
      <c r="K87" s="356">
        <f t="shared" si="108"/>
        <v>17900000</v>
      </c>
      <c r="L87" s="98">
        <f t="shared" si="109"/>
        <v>15000000</v>
      </c>
      <c r="M87" s="58">
        <v>15500000</v>
      </c>
      <c r="N87" s="59"/>
      <c r="O87" s="57">
        <f t="shared" si="118"/>
        <v>0</v>
      </c>
      <c r="P87" s="145"/>
      <c r="Q87" s="125">
        <f t="shared" si="124"/>
        <v>0</v>
      </c>
      <c r="R87" s="16">
        <f t="shared" si="111"/>
        <v>0</v>
      </c>
      <c r="S87" s="125">
        <f t="shared" si="112"/>
        <v>0</v>
      </c>
      <c r="T87" s="145">
        <f t="shared" si="119"/>
        <v>0</v>
      </c>
      <c r="U87" s="126">
        <f t="shared" si="113"/>
        <v>0</v>
      </c>
      <c r="V87" s="126">
        <f t="shared" si="114"/>
        <v>0</v>
      </c>
      <c r="W87" s="126">
        <f t="shared" si="115"/>
        <v>0</v>
      </c>
      <c r="X87" s="145">
        <f t="shared" si="120"/>
        <v>0</v>
      </c>
      <c r="Y87" s="145">
        <f t="shared" si="116"/>
        <v>-500000</v>
      </c>
      <c r="Z87" s="145"/>
      <c r="AA87" s="337">
        <f t="shared" si="117"/>
        <v>17900000</v>
      </c>
      <c r="AB87" s="203"/>
    </row>
    <row r="88" spans="1:29" s="105" customFormat="1" ht="20.100000000000001" customHeight="1" x14ac:dyDescent="0.25">
      <c r="A88" s="271">
        <v>70</v>
      </c>
      <c r="B88" s="44" t="s">
        <v>126</v>
      </c>
      <c r="C88" s="108" t="s">
        <v>95</v>
      </c>
      <c r="D88" s="100">
        <v>5000000</v>
      </c>
      <c r="E88" s="198"/>
      <c r="F88" s="100">
        <v>2500000</v>
      </c>
      <c r="G88" s="100">
        <v>400000</v>
      </c>
      <c r="H88" s="197">
        <v>2500000</v>
      </c>
      <c r="I88" s="100">
        <f>3*1500000</f>
        <v>4500000</v>
      </c>
      <c r="J88" s="100">
        <f>3*1000000</f>
        <v>3000000</v>
      </c>
      <c r="K88" s="355">
        <f t="shared" si="108"/>
        <v>17900000</v>
      </c>
      <c r="L88" s="275">
        <f t="shared" si="109"/>
        <v>15000000</v>
      </c>
      <c r="M88" s="58">
        <v>15500000</v>
      </c>
      <c r="N88" s="264"/>
      <c r="O88" s="57">
        <f t="shared" si="118"/>
        <v>0</v>
      </c>
      <c r="P88" s="145"/>
      <c r="Q88" s="125"/>
      <c r="R88" s="16"/>
      <c r="S88" s="125"/>
      <c r="T88" s="145"/>
      <c r="U88" s="126"/>
      <c r="V88" s="126"/>
      <c r="W88" s="126"/>
      <c r="X88" s="145"/>
      <c r="Y88" s="145">
        <f t="shared" si="116"/>
        <v>-500000</v>
      </c>
      <c r="Z88" s="145"/>
      <c r="AA88" s="337">
        <f t="shared" si="117"/>
        <v>17900000</v>
      </c>
      <c r="AB88" s="202"/>
    </row>
    <row r="89" spans="1:29" s="91" customFormat="1" ht="20.100000000000001" customHeight="1" x14ac:dyDescent="0.25">
      <c r="A89" s="47"/>
      <c r="B89" s="48" t="s">
        <v>11</v>
      </c>
      <c r="C89" s="49"/>
      <c r="D89" s="19">
        <f t="shared" ref="D89:L89" si="125">SUM(D78:D88)</f>
        <v>66700000</v>
      </c>
      <c r="E89" s="19">
        <f t="shared" si="125"/>
        <v>0</v>
      </c>
      <c r="F89" s="19">
        <f t="shared" si="125"/>
        <v>27500000</v>
      </c>
      <c r="G89" s="19">
        <f t="shared" si="125"/>
        <v>4400000</v>
      </c>
      <c r="H89" s="19">
        <f t="shared" si="125"/>
        <v>27500000</v>
      </c>
      <c r="I89" s="19">
        <f t="shared" si="125"/>
        <v>68700000</v>
      </c>
      <c r="J89" s="19">
        <f t="shared" si="125"/>
        <v>52800000</v>
      </c>
      <c r="K89" s="131">
        <f t="shared" si="125"/>
        <v>247600000</v>
      </c>
      <c r="L89" s="19">
        <f t="shared" si="125"/>
        <v>215700000</v>
      </c>
      <c r="M89" s="176"/>
      <c r="N89" s="176"/>
      <c r="O89" s="176"/>
      <c r="P89" s="131">
        <f t="shared" ref="P89:X89" si="126">SUM(P78:P88)</f>
        <v>44100000</v>
      </c>
      <c r="Q89" s="131">
        <f t="shared" si="126"/>
        <v>7717500</v>
      </c>
      <c r="R89" s="19">
        <f t="shared" si="126"/>
        <v>1323000</v>
      </c>
      <c r="S89" s="131">
        <f t="shared" si="126"/>
        <v>441000</v>
      </c>
      <c r="T89" s="131">
        <f t="shared" si="126"/>
        <v>9481500</v>
      </c>
      <c r="U89" s="131">
        <f t="shared" si="126"/>
        <v>3528000</v>
      </c>
      <c r="V89" s="131">
        <f t="shared" si="126"/>
        <v>661500</v>
      </c>
      <c r="W89" s="131">
        <f t="shared" si="126"/>
        <v>441000</v>
      </c>
      <c r="X89" s="131">
        <f t="shared" si="126"/>
        <v>4630500</v>
      </c>
      <c r="Y89" s="131"/>
      <c r="Z89" s="131">
        <f>SUM(Z78:Z88)</f>
        <v>469875</v>
      </c>
      <c r="AA89" s="365">
        <f>SUM(AA78:AA88)</f>
        <v>242499625</v>
      </c>
      <c r="AB89" s="32">
        <f>AA89-'[3]Danh sach'!$I$16</f>
        <v>41971791</v>
      </c>
      <c r="AC89" s="166">
        <f>+Z89+Z76+Z46+Z31</f>
        <v>1235600</v>
      </c>
    </row>
    <row r="90" spans="1:29" s="28" customFormat="1" ht="20.100000000000001" customHeight="1" thickBot="1" x14ac:dyDescent="0.3">
      <c r="A90" s="50"/>
      <c r="B90" s="51" t="s">
        <v>29</v>
      </c>
      <c r="C90" s="52"/>
      <c r="D90" s="20">
        <f t="shared" ref="D90:N90" si="127">+D16+D31+D46+D76+D89+D62</f>
        <v>431600000</v>
      </c>
      <c r="E90" s="20">
        <f t="shared" si="127"/>
        <v>8320000</v>
      </c>
      <c r="F90" s="20">
        <f t="shared" si="127"/>
        <v>169500000</v>
      </c>
      <c r="G90" s="20">
        <f t="shared" si="127"/>
        <v>28000000</v>
      </c>
      <c r="H90" s="20">
        <f t="shared" si="127"/>
        <v>171000000</v>
      </c>
      <c r="I90" s="20">
        <f t="shared" si="127"/>
        <v>338500000</v>
      </c>
      <c r="J90" s="20">
        <f t="shared" si="127"/>
        <v>291600000</v>
      </c>
      <c r="K90" s="327">
        <f t="shared" si="127"/>
        <v>1438520000</v>
      </c>
      <c r="L90" s="20">
        <f t="shared" si="127"/>
        <v>1232700000</v>
      </c>
      <c r="M90" s="20">
        <f t="shared" si="127"/>
        <v>697500000</v>
      </c>
      <c r="N90" s="20">
        <f t="shared" si="127"/>
        <v>32</v>
      </c>
      <c r="O90" s="20"/>
      <c r="P90" s="20">
        <f t="shared" ref="P90:AA90" si="128">+P16+P31+P46+P76+P89+P62</f>
        <v>355500000</v>
      </c>
      <c r="Q90" s="20">
        <f t="shared" si="128"/>
        <v>62212500</v>
      </c>
      <c r="R90" s="20">
        <f t="shared" si="128"/>
        <v>10665000</v>
      </c>
      <c r="S90" s="20">
        <f t="shared" si="128"/>
        <v>3555000</v>
      </c>
      <c r="T90" s="20">
        <f t="shared" si="128"/>
        <v>76432500</v>
      </c>
      <c r="U90" s="20">
        <f t="shared" si="128"/>
        <v>28440000</v>
      </c>
      <c r="V90" s="20">
        <f t="shared" si="128"/>
        <v>5332500</v>
      </c>
      <c r="W90" s="20">
        <f t="shared" si="128"/>
        <v>3555000</v>
      </c>
      <c r="X90" s="20">
        <f t="shared" si="128"/>
        <v>37327500</v>
      </c>
      <c r="Y90" s="20">
        <f t="shared" si="128"/>
        <v>0</v>
      </c>
      <c r="Z90" s="20">
        <f t="shared" si="128"/>
        <v>1235600</v>
      </c>
      <c r="AA90" s="369">
        <f t="shared" si="128"/>
        <v>1399956900</v>
      </c>
      <c r="AB90" s="36">
        <f>+Z82+Z79+Z78+Z64+Z36+Z35+Z33+Z23</f>
        <v>831875</v>
      </c>
      <c r="AC90" s="237">
        <f>X89-'[4]05'!$F$18</f>
        <v>0</v>
      </c>
    </row>
    <row r="91" spans="1:29" ht="20.100000000000001" customHeight="1" thickTop="1" x14ac:dyDescent="0.25">
      <c r="A91" s="29"/>
      <c r="B91" s="53"/>
      <c r="C91" s="54"/>
      <c r="E91" s="55"/>
      <c r="F91" s="55"/>
      <c r="G91" s="55"/>
      <c r="H91" s="55"/>
      <c r="I91" s="61"/>
      <c r="J91" s="167"/>
      <c r="K91" s="159"/>
      <c r="L91" s="74">
        <f>K89-F89-G89</f>
        <v>215700000</v>
      </c>
      <c r="M91" s="177"/>
      <c r="N91" s="177"/>
      <c r="O91" s="177"/>
      <c r="P91" s="159"/>
      <c r="Q91" s="134"/>
      <c r="R91" s="141"/>
      <c r="S91" s="134"/>
      <c r="T91" s="134">
        <f>+T90+X90</f>
        <v>113760000</v>
      </c>
      <c r="U91" s="149"/>
      <c r="V91" s="135"/>
      <c r="W91" s="135"/>
      <c r="X91" s="378" t="s">
        <v>105</v>
      </c>
      <c r="Y91" s="378"/>
      <c r="Z91" s="378"/>
      <c r="AA91" s="378"/>
      <c r="AB91" s="36"/>
      <c r="AC91" s="4"/>
    </row>
    <row r="92" spans="1:29" ht="20.100000000000001" customHeight="1" thickBot="1" x14ac:dyDescent="0.3">
      <c r="A92" s="379"/>
      <c r="B92" s="379"/>
      <c r="C92" s="379"/>
      <c r="D92" s="379"/>
      <c r="E92" s="379"/>
      <c r="F92" s="379"/>
      <c r="G92" s="239"/>
      <c r="H92" s="120"/>
      <c r="I92" s="120"/>
      <c r="J92" s="120"/>
      <c r="K92" s="328">
        <f>K90-E90-F90-G90</f>
        <v>1232700000</v>
      </c>
      <c r="L92" s="85">
        <f>+L89+L76+L62+L46+L31+L16</f>
        <v>1232700000</v>
      </c>
      <c r="M92" s="178"/>
      <c r="N92" s="178"/>
      <c r="O92" s="178"/>
      <c r="P92" s="160"/>
      <c r="Q92" s="135"/>
      <c r="R92" s="29"/>
      <c r="S92" s="135"/>
      <c r="T92" s="149">
        <f>T91-'[1]2026'!$N$69</f>
        <v>0</v>
      </c>
      <c r="U92" s="149"/>
      <c r="V92" s="135"/>
      <c r="W92" s="135"/>
      <c r="X92" s="378" t="s">
        <v>36</v>
      </c>
      <c r="Y92" s="378"/>
      <c r="Z92" s="378"/>
      <c r="AA92" s="378"/>
      <c r="AB92" s="29"/>
      <c r="AC92" s="4"/>
    </row>
    <row r="93" spans="1:29" ht="18.75" customHeight="1" thickTop="1" x14ac:dyDescent="0.25">
      <c r="A93" s="29"/>
      <c r="B93" s="53"/>
      <c r="C93" s="54"/>
      <c r="E93" s="55"/>
      <c r="F93" s="55"/>
      <c r="G93" s="24"/>
      <c r="H93" s="245"/>
      <c r="I93" s="292"/>
      <c r="J93" s="191"/>
      <c r="K93" s="329"/>
      <c r="L93" s="248"/>
      <c r="M93" s="249"/>
      <c r="N93" s="177"/>
      <c r="O93" s="177"/>
      <c r="P93" s="55"/>
      <c r="Q93" s="55"/>
      <c r="R93" s="55"/>
      <c r="S93" s="55"/>
      <c r="T93" s="32"/>
      <c r="U93" s="29"/>
      <c r="V93" s="36"/>
      <c r="W93" s="378"/>
      <c r="X93" s="378"/>
      <c r="Y93" s="378"/>
      <c r="Z93" s="378"/>
      <c r="AA93" s="378"/>
      <c r="AB93" s="3"/>
      <c r="AC93" s="3"/>
    </row>
    <row r="94" spans="1:29" ht="18" customHeight="1" x14ac:dyDescent="0.25">
      <c r="A94" s="29"/>
      <c r="B94" s="53"/>
      <c r="C94" s="54"/>
      <c r="D94" s="36"/>
      <c r="E94" s="36"/>
      <c r="F94" s="36"/>
      <c r="G94" s="26"/>
      <c r="H94" s="36"/>
      <c r="I94" s="36"/>
      <c r="J94" s="36"/>
      <c r="K94" s="328"/>
      <c r="L94" s="85"/>
      <c r="M94" s="250"/>
      <c r="N94" s="178"/>
      <c r="O94" s="178"/>
      <c r="P94" s="29"/>
      <c r="Q94" s="29"/>
      <c r="R94" s="29"/>
      <c r="S94" s="32"/>
      <c r="T94" s="32"/>
      <c r="U94" s="29"/>
      <c r="V94" s="36"/>
      <c r="W94" s="244"/>
      <c r="X94" s="293"/>
      <c r="Y94" s="293"/>
      <c r="Z94" s="293"/>
      <c r="AA94" s="344">
        <f>K90-X90-Z90</f>
        <v>1399956900</v>
      </c>
      <c r="AC94" s="3"/>
    </row>
    <row r="95" spans="1:29" ht="18" customHeight="1" x14ac:dyDescent="0.25">
      <c r="A95" s="23"/>
      <c r="B95" s="259"/>
      <c r="C95" s="283"/>
      <c r="D95" s="284"/>
      <c r="E95" s="284"/>
      <c r="F95" s="24"/>
      <c r="H95" s="24"/>
      <c r="I95" s="24"/>
      <c r="J95" s="24"/>
      <c r="K95" s="330"/>
      <c r="L95" s="118"/>
      <c r="M95" s="169"/>
      <c r="N95" s="169"/>
      <c r="O95" s="169"/>
      <c r="P95" s="23"/>
      <c r="Q95" s="23"/>
      <c r="R95" s="23"/>
      <c r="S95" s="25"/>
      <c r="T95" s="25"/>
      <c r="U95" s="25"/>
      <c r="V95" s="23"/>
      <c r="W95" s="60"/>
      <c r="X95" s="189"/>
      <c r="Y95" s="189"/>
      <c r="Z95" s="189"/>
      <c r="AA95" s="345">
        <f>AA90-AA94</f>
        <v>0</v>
      </c>
    </row>
    <row r="96" spans="1:29" ht="17.25" customHeight="1" x14ac:dyDescent="0.25">
      <c r="A96" s="23"/>
      <c r="B96" s="259"/>
      <c r="C96" s="285"/>
      <c r="D96" s="286"/>
      <c r="E96" s="374"/>
      <c r="F96" s="26"/>
      <c r="G96" s="3"/>
      <c r="H96" s="88"/>
      <c r="I96" s="26"/>
      <c r="J96" s="26"/>
      <c r="K96" s="331"/>
      <c r="L96" s="75"/>
      <c r="M96" s="179"/>
      <c r="N96" s="179"/>
      <c r="O96" s="179"/>
      <c r="P96" s="23"/>
      <c r="Q96" s="23"/>
      <c r="R96" s="23"/>
      <c r="S96" s="24"/>
      <c r="T96" s="24"/>
      <c r="U96" s="24"/>
      <c r="V96" s="23"/>
      <c r="W96" s="23"/>
      <c r="X96" s="25"/>
      <c r="Y96" s="23"/>
      <c r="Z96" s="23"/>
      <c r="AA96" s="346"/>
    </row>
    <row r="97" spans="2:28" ht="15.75" x14ac:dyDescent="0.25">
      <c r="B97" s="259"/>
      <c r="C97" s="285"/>
      <c r="D97" s="286"/>
      <c r="E97" s="374"/>
      <c r="I97" s="4"/>
      <c r="J97" s="4"/>
      <c r="K97" s="161"/>
      <c r="L97" s="76"/>
      <c r="M97" s="180"/>
      <c r="N97" s="180"/>
      <c r="O97" s="180"/>
      <c r="P97" s="27"/>
      <c r="Q97" s="27"/>
      <c r="R97" s="27"/>
      <c r="S97" s="168"/>
      <c r="T97" s="4"/>
      <c r="U97" s="4"/>
      <c r="X97" s="4"/>
      <c r="Y97" s="4"/>
      <c r="Z97" s="4"/>
    </row>
    <row r="98" spans="2:28" ht="15.75" x14ac:dyDescent="0.25">
      <c r="B98" s="259"/>
      <c r="C98" s="286"/>
      <c r="D98" s="287"/>
      <c r="E98" s="375"/>
      <c r="F98" s="3"/>
      <c r="H98" s="3"/>
      <c r="I98" s="3"/>
      <c r="J98" s="3"/>
      <c r="K98" s="332">
        <f>K90-K16</f>
        <v>1308000000</v>
      </c>
      <c r="L98" s="253"/>
      <c r="M98" s="254"/>
      <c r="N98" s="254"/>
      <c r="O98" s="254"/>
      <c r="P98" s="255">
        <v>154</v>
      </c>
      <c r="Q98" s="256">
        <f>Q90-Q16</f>
        <v>55912500</v>
      </c>
      <c r="R98" s="256">
        <f>R90-R16</f>
        <v>9585000</v>
      </c>
      <c r="S98" s="256">
        <f>S90-S16</f>
        <v>3195000</v>
      </c>
      <c r="T98" s="32"/>
      <c r="U98" s="32"/>
      <c r="W98" s="4"/>
      <c r="X98" s="4"/>
      <c r="Y98" s="4"/>
      <c r="Z98" s="4"/>
    </row>
    <row r="99" spans="2:28" ht="15.75" x14ac:dyDescent="0.25">
      <c r="B99" s="259"/>
      <c r="C99" s="286"/>
      <c r="D99" s="287"/>
      <c r="E99" s="375"/>
      <c r="K99" s="332">
        <f>K16</f>
        <v>130520000</v>
      </c>
      <c r="L99" s="253"/>
      <c r="M99" s="254"/>
      <c r="N99" s="254"/>
      <c r="O99" s="254"/>
      <c r="P99" s="255">
        <v>642</v>
      </c>
      <c r="Q99" s="256">
        <f>Q16</f>
        <v>6300000</v>
      </c>
      <c r="R99" s="256">
        <f>R16</f>
        <v>1080000</v>
      </c>
      <c r="S99" s="188">
        <f>S16</f>
        <v>360000</v>
      </c>
      <c r="T99" s="32"/>
      <c r="U99" s="32"/>
      <c r="W99" s="4"/>
      <c r="X99" s="4"/>
      <c r="Y99" s="4"/>
      <c r="Z99" s="4"/>
      <c r="AB99" s="4"/>
    </row>
    <row r="100" spans="2:28" ht="15.75" x14ac:dyDescent="0.25">
      <c r="B100" s="259"/>
      <c r="C100" s="286"/>
      <c r="D100" s="287"/>
      <c r="E100" s="375"/>
      <c r="I100" s="4"/>
      <c r="J100" s="4"/>
      <c r="K100" s="332">
        <f>SUM(K98:K99)</f>
        <v>1438520000</v>
      </c>
      <c r="L100" s="253"/>
      <c r="M100" s="254"/>
      <c r="N100" s="254"/>
      <c r="O100" s="254"/>
      <c r="P100" s="255">
        <v>334</v>
      </c>
      <c r="Q100" s="256">
        <f>U90</f>
        <v>28440000</v>
      </c>
      <c r="R100" s="256">
        <f>V90</f>
        <v>5332500</v>
      </c>
      <c r="S100" s="188">
        <f>W90</f>
        <v>3555000</v>
      </c>
      <c r="T100" s="32"/>
      <c r="U100" s="32"/>
      <c r="X100" s="4"/>
      <c r="Y100" s="4"/>
      <c r="Z100" s="4"/>
    </row>
    <row r="101" spans="2:28" ht="15.75" x14ac:dyDescent="0.25">
      <c r="B101" s="259"/>
      <c r="C101" s="286"/>
      <c r="D101" s="287"/>
      <c r="E101" s="288"/>
      <c r="K101" s="255"/>
      <c r="L101" s="257"/>
      <c r="M101" s="254"/>
      <c r="N101" s="254"/>
      <c r="O101" s="254"/>
      <c r="P101" s="255">
        <v>338</v>
      </c>
      <c r="Q101" s="256">
        <f>SUM(Q98:Q100)</f>
        <v>90652500</v>
      </c>
      <c r="R101" s="256">
        <f>SUM(R98:R100)</f>
        <v>15997500</v>
      </c>
      <c r="S101" s="188">
        <f>SUM(S98:S100)</f>
        <v>7110000</v>
      </c>
      <c r="T101" s="32"/>
      <c r="U101" s="32"/>
      <c r="X101" s="4"/>
      <c r="Y101" s="4"/>
      <c r="Z101" s="4"/>
    </row>
    <row r="102" spans="2:28" ht="15.75" customHeight="1" x14ac:dyDescent="0.25">
      <c r="B102" s="259"/>
      <c r="C102" s="286"/>
      <c r="D102" s="287"/>
      <c r="E102" s="288"/>
      <c r="K102" s="255"/>
      <c r="L102" s="257"/>
      <c r="M102" s="254"/>
      <c r="N102" s="254"/>
      <c r="O102" s="254"/>
      <c r="P102" s="255" t="s">
        <v>30</v>
      </c>
      <c r="Q102" s="256">
        <f>+Q101+R101+S101</f>
        <v>113760000</v>
      </c>
      <c r="R102" s="256"/>
      <c r="S102" s="258"/>
      <c r="T102" s="32"/>
      <c r="U102" s="29"/>
    </row>
    <row r="103" spans="2:28" ht="15.75" x14ac:dyDescent="0.25">
      <c r="B103" s="259"/>
      <c r="C103" s="287"/>
      <c r="D103" s="287"/>
      <c r="E103" s="376"/>
      <c r="K103" s="255"/>
      <c r="L103" s="257"/>
      <c r="M103" s="254"/>
      <c r="N103" s="254"/>
      <c r="O103" s="254"/>
      <c r="P103" s="255" t="s">
        <v>150</v>
      </c>
      <c r="Q103" s="256">
        <f>Z90</f>
        <v>1235600</v>
      </c>
      <c r="R103" s="256"/>
      <c r="S103" s="258"/>
      <c r="T103" s="32"/>
      <c r="U103" s="29"/>
    </row>
    <row r="104" spans="2:28" ht="15.75" x14ac:dyDescent="0.25">
      <c r="B104" s="259"/>
      <c r="C104" s="287"/>
      <c r="D104" s="287"/>
      <c r="E104" s="376"/>
      <c r="K104" s="255"/>
      <c r="L104" s="257"/>
      <c r="M104" s="254"/>
      <c r="N104" s="254"/>
      <c r="O104" s="254"/>
      <c r="P104" s="255" t="s">
        <v>31</v>
      </c>
      <c r="Q104" s="256">
        <f>K100-Q103-Q100-R100-S100</f>
        <v>1399956900</v>
      </c>
      <c r="R104" s="256"/>
      <c r="S104" s="258"/>
      <c r="T104" s="32">
        <f>K90-X90-Z90</f>
        <v>1399956900</v>
      </c>
      <c r="U104" s="36"/>
    </row>
    <row r="105" spans="2:28" x14ac:dyDescent="0.25">
      <c r="B105" s="259"/>
      <c r="C105" s="287"/>
      <c r="D105" s="287"/>
      <c r="E105" s="377"/>
      <c r="K105" s="333"/>
      <c r="L105" s="259"/>
      <c r="M105" s="177"/>
      <c r="N105" s="177"/>
      <c r="O105" s="177"/>
      <c r="P105" s="36"/>
      <c r="Q105" s="32">
        <f>Q104-AA90</f>
        <v>0</v>
      </c>
      <c r="R105" s="29"/>
      <c r="S105" s="29"/>
      <c r="T105" s="32"/>
      <c r="U105" s="29"/>
    </row>
    <row r="106" spans="2:28" x14ac:dyDescent="0.25">
      <c r="B106" s="259"/>
      <c r="C106" s="287"/>
      <c r="D106" s="287"/>
      <c r="E106" s="377"/>
      <c r="K106" s="334"/>
      <c r="L106" s="78"/>
      <c r="Q106" s="104"/>
      <c r="S106" s="4"/>
      <c r="T106" s="3"/>
    </row>
    <row r="107" spans="2:28" x14ac:dyDescent="0.25">
      <c r="B107" s="259"/>
      <c r="C107" s="286"/>
      <c r="D107" s="287"/>
      <c r="E107" s="377"/>
      <c r="K107" s="334"/>
      <c r="L107" s="78"/>
      <c r="Q107" s="3"/>
    </row>
    <row r="108" spans="2:28" x14ac:dyDescent="0.25">
      <c r="C108" s="3"/>
      <c r="D108" s="3"/>
      <c r="K108" s="335"/>
      <c r="L108" s="79"/>
    </row>
    <row r="110" spans="2:28" x14ac:dyDescent="0.25">
      <c r="C110"/>
      <c r="K110" s="334"/>
      <c r="L110" s="78"/>
    </row>
    <row r="111" spans="2:28" x14ac:dyDescent="0.25">
      <c r="K111" s="334"/>
    </row>
    <row r="113" spans="3:16" x14ac:dyDescent="0.25">
      <c r="C113"/>
    </row>
    <row r="115" spans="3:16" x14ac:dyDescent="0.25">
      <c r="P115" s="115"/>
    </row>
    <row r="122" spans="3:16" x14ac:dyDescent="0.25">
      <c r="P122" s="3"/>
    </row>
    <row r="123" spans="3:16" x14ac:dyDescent="0.25">
      <c r="P123" s="3"/>
    </row>
  </sheetData>
  <mergeCells count="27">
    <mergeCell ref="O4:O5"/>
    <mergeCell ref="K4:K5"/>
    <mergeCell ref="L4:L5"/>
    <mergeCell ref="D2:AA2"/>
    <mergeCell ref="A1:D1"/>
    <mergeCell ref="A2:C2"/>
    <mergeCell ref="A4:A5"/>
    <mergeCell ref="B4:B5"/>
    <mergeCell ref="C4:C5"/>
    <mergeCell ref="D4:D5"/>
    <mergeCell ref="A3:C3"/>
    <mergeCell ref="E4:H4"/>
    <mergeCell ref="I4:I5"/>
    <mergeCell ref="J4:J5"/>
    <mergeCell ref="M4:M5"/>
    <mergeCell ref="N4:N5"/>
    <mergeCell ref="P4:P5"/>
    <mergeCell ref="Q4:S4"/>
    <mergeCell ref="T4:T5"/>
    <mergeCell ref="U4:X4"/>
    <mergeCell ref="AA4:AA5"/>
    <mergeCell ref="E103:E107"/>
    <mergeCell ref="X91:AA91"/>
    <mergeCell ref="A92:F92"/>
    <mergeCell ref="X92:AA92"/>
    <mergeCell ref="W93:AA93"/>
    <mergeCell ref="E96:E10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04.26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Administrator</cp:lastModifiedBy>
  <cp:lastPrinted>2026-05-21T04:03:23Z</cp:lastPrinted>
  <dcterms:created xsi:type="dcterms:W3CDTF">2018-02-23T09:33:23Z</dcterms:created>
  <dcterms:modified xsi:type="dcterms:W3CDTF">2026-05-27T14:49:48Z</dcterms:modified>
</cp:coreProperties>
</file>