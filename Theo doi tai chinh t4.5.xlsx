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6925"/>
  <sheets>
    <sheet name="THU-CHI" sheetId="1" r:id="rId1"/>
  </sheets>
  <definedNames>
    <definedName name="_xlnm._FilterDatabase" localSheetId="0" hidden="1">'THU-CHI'!A9:W270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43" formatCode="_(* #,##0.00_);_(* \(#,##0.00\);_(* &quot;-&quot;??_);_(@_)"/>
    <numFmt numFmtId="56" formatCode="&quot;上午/下午 &quot;hh&quot;時&quot;mm&quot;分&quot;ss&quot;秒 &quot;"/>
    <numFmt numFmtId="164" formatCode="_(* #,##0_);_(* \(#,##0\);_(* &quot;-&quot;??_);_(@_)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W286"/>
  <sheetViews>
    <sheetView workbookViewId="0" rightToLeft="0"/>
  </sheetViews>
  <sheetData>
    <row r="3">
      <c r="A3" t="str">
        <v>Tiền mặt đầu kỳ</v>
      </c>
      <c r="E3">
        <f>+SUM(E4:E7)</f>
        <v>545319137</v>
      </c>
      <c r="G3" t="str">
        <v>Tiền mặt Cuối kỳ</v>
      </c>
      <c r="J3">
        <f>+SUM(J4:J7)</f>
        <v>2502426743</v>
      </c>
      <c r="L3" t="str">
        <v>Tiền mặt đầu kỳ</v>
      </c>
      <c r="O3">
        <f>+SUM(O4:O7)</f>
        <v>545319137</v>
      </c>
      <c r="Q3" t="str">
        <v>Tiền mặt Cuối kỳ</v>
      </c>
      <c r="T3">
        <f>+SUM(T4:T7)</f>
        <v>1783643541.9999998</v>
      </c>
    </row>
    <row r="4">
      <c r="A4" t="str">
        <v>ABBank</v>
      </c>
      <c r="B4">
        <v>1</v>
      </c>
      <c r="E4">
        <v>462875088</v>
      </c>
      <c r="G4" t="str">
        <v>ABBank</v>
      </c>
      <c r="H4">
        <v>1</v>
      </c>
      <c r="J4">
        <f>+$E4-SUMIF($H11:$H2162,"AB",$G11:$G2162)+SUMIF($H11:$H2162,"AB",$F11:$F2162)</f>
        <v>1582243253</v>
      </c>
      <c r="L4" t="str">
        <v>ABBank</v>
      </c>
      <c r="M4">
        <v>1</v>
      </c>
      <c r="O4">
        <v>462875088</v>
      </c>
      <c r="Q4" t="str">
        <v>ABBank</v>
      </c>
      <c r="R4">
        <v>1</v>
      </c>
      <c r="T4">
        <f>+$O4-SUMIF($H11:$H168,"AB",$G11:$G168)+SUMIF($H11:$H168,"AB",$F11:$F168)</f>
        <v>1697159405</v>
      </c>
      <c r="U4">
        <v>1697159405</v>
      </c>
      <c r="V4">
        <f>+U4-T4</f>
        <v>0</v>
      </c>
    </row>
    <row r="5">
      <c r="A5" t="str">
        <v>ViettinBack</v>
      </c>
      <c r="B5">
        <v>2</v>
      </c>
      <c r="E5">
        <v>45248758</v>
      </c>
      <c r="G5" t="str">
        <v>ViettinBack</v>
      </c>
      <c r="H5">
        <v>2</v>
      </c>
      <c r="J5">
        <f>+$E5-SUMIF($H11:$H2162,"VT",$G11:$G2162)+SUMIF($H11:$H2162,"VT",$F11:$F2162)</f>
        <v>895706657.9999998</v>
      </c>
      <c r="L5" t="str">
        <v>ViettinBack</v>
      </c>
      <c r="M5">
        <v>2</v>
      </c>
      <c r="O5">
        <v>45248758</v>
      </c>
      <c r="Q5" t="str">
        <v>ViettinBack</v>
      </c>
      <c r="R5">
        <v>2</v>
      </c>
      <c r="T5">
        <f>+$O5-SUMIF($H11:$H168,"VT",$G11:$G168)+SUMIF($H11:$H168,"VT",$F11:$F168)</f>
        <v>17534889.99999976</v>
      </c>
    </row>
    <row r="6">
      <c r="A6" t="str">
        <v>Cá Nhân</v>
      </c>
      <c r="B6">
        <v>3</v>
      </c>
      <c r="E6">
        <v>37195291</v>
      </c>
      <c r="G6" t="str">
        <v>Cá Nhân</v>
      </c>
      <c r="H6">
        <v>3</v>
      </c>
      <c r="J6">
        <f>+$E6-SUMIF($H11:$H2162,"CN",$G11:$G2162)+SUMIF($H11:$H2162,"CN",$F11:$F2162)</f>
        <v>24476832</v>
      </c>
      <c r="L6" t="str">
        <v>Cá Nhân</v>
      </c>
      <c r="M6">
        <v>3</v>
      </c>
      <c r="O6">
        <f>34695291+2500000</f>
        <v>37195291</v>
      </c>
      <c r="Q6" t="str">
        <v>Cá Nhân</v>
      </c>
      <c r="R6">
        <v>3</v>
      </c>
      <c r="T6">
        <f>+$O6-SUMIF($H11:$H168,"CN",$G11:$G168)+SUMIF($H11:$H168,"CN",$F11:$F168)</f>
        <v>68949247</v>
      </c>
      <c r="U6">
        <v>68949247</v>
      </c>
      <c r="V6">
        <f>+U6-T6</f>
        <v>0</v>
      </c>
    </row>
    <row r="7">
      <c r="A7" t="str">
        <v>Tiền Mặt</v>
      </c>
      <c r="B7">
        <v>4</v>
      </c>
      <c r="E7">
        <v>0</v>
      </c>
      <c r="G7" t="str">
        <v>Tiền Mặt</v>
      </c>
      <c r="H7">
        <v>4</v>
      </c>
      <c r="J7">
        <f>+$E7-SUMIF($H11:$H2162,"TM",$G11:$G2162)+SUMIF($H11:$H2162,"TM",$F11:$F2162)</f>
        <v>0</v>
      </c>
      <c r="L7" t="str">
        <v>Tiền Mặt</v>
      </c>
      <c r="M7">
        <v>4</v>
      </c>
      <c r="O7">
        <v>0</v>
      </c>
      <c r="Q7" t="str">
        <v>Tiền Mặt</v>
      </c>
      <c r="R7">
        <v>4</v>
      </c>
      <c r="T7">
        <f>+$O7-SUMIF($H12:$H169,"TM",$G12:$G169)+SUMIF($H12:$H169,"TM",$F12:$F169)</f>
        <v>0</v>
      </c>
    </row>
    <row r="9">
      <c r="A9" t="str">
        <v>Ngày</v>
      </c>
      <c r="B9" t="str">
        <v>Tàu</v>
      </c>
      <c r="C9" t="str">
        <v>Chuyến/HĐ</v>
      </c>
      <c r="D9" t="str">
        <v>Hạng Mục</v>
      </c>
      <c r="E9" t="str">
        <v>Nội Dung</v>
      </c>
      <c r="F9" t="str">
        <v>Thu</v>
      </c>
      <c r="G9" t="str">
        <v>Chi</v>
      </c>
      <c r="H9" t="str">
        <v>Tài Khoản</v>
      </c>
      <c r="I9" t="str">
        <v>NCC</v>
      </c>
    </row>
    <row r="11">
      <c r="A11">
        <v>46026</v>
      </c>
      <c r="B11" t="str">
        <v>VG36</v>
      </c>
      <c r="D11" t="str">
        <v>4.Dầu DO</v>
      </c>
      <c r="E11" t="str">
        <v>Tạm ứng Cấp dầu VG36</v>
      </c>
      <c r="G11">
        <v>350000000</v>
      </c>
      <c r="H11" t="str">
        <v>AB</v>
      </c>
      <c r="V11">
        <v>1697159405</v>
      </c>
      <c r="W11">
        <f>+V11-T11</f>
        <v>1697159405</v>
      </c>
    </row>
    <row r="12">
      <c r="A12">
        <v>46026</v>
      </c>
      <c r="B12" t="str">
        <v>VG18</v>
      </c>
      <c r="D12" t="str">
        <v>1.Tàu Ứng</v>
      </c>
      <c r="E12" t="str">
        <v>Ứng tiền</v>
      </c>
      <c r="G12">
        <v>30000000</v>
      </c>
      <c r="H12" t="str">
        <v>CN</v>
      </c>
    </row>
    <row r="13">
      <c r="A13">
        <v>46026</v>
      </c>
      <c r="B13" t="str">
        <v>VG36</v>
      </c>
      <c r="C13">
        <v>22</v>
      </c>
      <c r="D13" t="str">
        <v>CVC</v>
      </c>
      <c r="E13" t="str">
        <v>HD22 VG36 Quặng Vĩnh Xương - Hải Phòng</v>
      </c>
      <c r="F13">
        <v>300000000</v>
      </c>
      <c r="H13" t="str">
        <v>AB</v>
      </c>
      <c r="I13" t="str">
        <v>Ngọc Anh</v>
      </c>
    </row>
    <row r="14">
      <c r="A14">
        <v>46057</v>
      </c>
      <c r="B14" t="str">
        <v>VG18</v>
      </c>
      <c r="D14" t="str">
        <v>1.Tàu Ứng</v>
      </c>
      <c r="E14" t="str">
        <v>Ứng tiền</v>
      </c>
      <c r="G14">
        <v>20000000</v>
      </c>
      <c r="H14" t="str">
        <v>AB</v>
      </c>
    </row>
    <row r="15">
      <c r="A15">
        <v>46057</v>
      </c>
      <c r="B15" t="str">
        <v>VG15</v>
      </c>
      <c r="D15" t="str">
        <v>1.Tàu Ứng</v>
      </c>
      <c r="E15" t="str">
        <v>Ứng tiền</v>
      </c>
      <c r="G15">
        <v>10000000</v>
      </c>
      <c r="H15" t="str">
        <v>AB</v>
      </c>
    </row>
    <row r="16">
      <c r="A16">
        <v>46057</v>
      </c>
      <c r="B16" t="str">
        <v>VG36</v>
      </c>
      <c r="C16">
        <v>22</v>
      </c>
      <c r="D16" t="str">
        <v>CVC</v>
      </c>
      <c r="E16" t="str">
        <v>HD22 VG36 Quặng Vĩnh Xương - Hải Phòng</v>
      </c>
      <c r="F16">
        <v>380730050</v>
      </c>
      <c r="H16" t="str">
        <v>AB</v>
      </c>
      <c r="I16" t="str">
        <v>Ngọc Anh</v>
      </c>
    </row>
    <row r="17">
      <c r="A17">
        <v>46085</v>
      </c>
      <c r="B17" t="str">
        <v>VG09</v>
      </c>
      <c r="D17" t="str">
        <v>9.Vật Tư</v>
      </c>
      <c r="E17" t="str">
        <v>Sơn HP</v>
      </c>
      <c r="G17">
        <v>21112488</v>
      </c>
      <c r="H17" t="str">
        <v>AB</v>
      </c>
    </row>
    <row r="18">
      <c r="A18">
        <v>46085</v>
      </c>
      <c r="B18" t="str">
        <v>VP</v>
      </c>
      <c r="D18" t="str">
        <v>Văn phòng</v>
      </c>
      <c r="E18" t="str">
        <v>Đối ứng in hải đồ</v>
      </c>
      <c r="F18">
        <v>7596000</v>
      </c>
      <c r="H18" t="str">
        <v>CN</v>
      </c>
    </row>
    <row r="19">
      <c r="A19">
        <v>46085</v>
      </c>
      <c r="B19" t="str">
        <v>VG18</v>
      </c>
      <c r="D19" t="str">
        <v>9.Vật Tư</v>
      </c>
      <c r="E19" t="str">
        <v>In hải đồ</v>
      </c>
      <c r="G19">
        <v>7776000</v>
      </c>
      <c r="H19" t="str">
        <v>AB</v>
      </c>
    </row>
    <row r="20">
      <c r="A20">
        <v>46085</v>
      </c>
      <c r="B20" t="str">
        <v>VG36</v>
      </c>
      <c r="C20">
        <v>9</v>
      </c>
      <c r="D20" t="str">
        <v>CVC</v>
      </c>
      <c r="E20" t="str">
        <v>HD9 VG36 Clinker Hòn La - Hậu Giang</v>
      </c>
      <c r="F20">
        <v>200000000</v>
      </c>
      <c r="H20" t="str">
        <v>VT</v>
      </c>
    </row>
    <row r="21">
      <c r="A21">
        <v>46085</v>
      </c>
      <c r="B21" t="str">
        <v>VG09</v>
      </c>
      <c r="D21" t="str">
        <v>4.Dầu DO</v>
      </c>
      <c r="E21" t="str">
        <v>Cấp dầu VG09</v>
      </c>
      <c r="G21">
        <v>700000000</v>
      </c>
      <c r="H21" t="str">
        <v>AB</v>
      </c>
      <c r="I21" t="str">
        <v>PV Oil miền trung</v>
      </c>
    </row>
    <row r="22">
      <c r="A22">
        <v>46085</v>
      </c>
      <c r="B22" t="str">
        <v>VG09</v>
      </c>
      <c r="D22" t="str">
        <v>4.Dầu DO</v>
      </c>
      <c r="E22" t="str">
        <v>Cấp dầu VG09</v>
      </c>
      <c r="G22">
        <v>138962500</v>
      </c>
      <c r="H22" t="str">
        <v>VT</v>
      </c>
      <c r="I22" t="str">
        <v>PV Oil miền trung</v>
      </c>
    </row>
    <row r="23">
      <c r="A23">
        <v>46085</v>
      </c>
      <c r="B23" t="str">
        <v>VG15</v>
      </c>
      <c r="C23">
        <v>23</v>
      </c>
      <c r="D23" t="str">
        <v>CVC</v>
      </c>
      <c r="E23" t="str">
        <v>HD23 VG15 Xỉ Sơn Dương - Hậu Giang</v>
      </c>
      <c r="F23">
        <v>500000000</v>
      </c>
      <c r="H23" t="str">
        <v>AB</v>
      </c>
      <c r="I23" t="str">
        <v>Ngọc Anh</v>
      </c>
    </row>
    <row r="24">
      <c r="A24">
        <v>46085</v>
      </c>
      <c r="B24" t="str">
        <v>VG05</v>
      </c>
      <c r="C24">
        <v>25</v>
      </c>
      <c r="D24" t="str">
        <v>CVC</v>
      </c>
      <c r="E24" t="str">
        <v>HD25 VG05 Clinker Hòn La  - Cần Thơ</v>
      </c>
      <c r="F24">
        <f>200000000+267913200</f>
        <v>467913200</v>
      </c>
      <c r="H24" t="str">
        <v>AB</v>
      </c>
      <c r="I24" t="str">
        <v>Bình Minh</v>
      </c>
    </row>
    <row r="25">
      <c r="A25">
        <v>46085</v>
      </c>
      <c r="B25" t="str">
        <v>VG09</v>
      </c>
      <c r="D25" t="str">
        <v>1.Tàu Ứng</v>
      </c>
      <c r="E25" t="str">
        <v>Ứng tiền</v>
      </c>
      <c r="G25">
        <v>40000000</v>
      </c>
      <c r="H25" t="str">
        <v>AB</v>
      </c>
    </row>
    <row r="26">
      <c r="A26">
        <v>46085</v>
      </c>
      <c r="B26" t="str">
        <v>VG18</v>
      </c>
      <c r="D26" t="str">
        <v>Nhận Nợ NH</v>
      </c>
      <c r="E26" t="str">
        <v>Vay ngắn hạn ABBank</v>
      </c>
      <c r="F26">
        <v>1390134000</v>
      </c>
      <c r="H26" t="str">
        <v>AB</v>
      </c>
    </row>
    <row r="27">
      <c r="A27">
        <v>46085</v>
      </c>
      <c r="B27" t="str">
        <v>VG18</v>
      </c>
      <c r="D27" t="str">
        <v>4.Dầu DO</v>
      </c>
      <c r="E27" t="str">
        <v>Trả tiền dầu DO</v>
      </c>
      <c r="G27">
        <v>1390134000</v>
      </c>
      <c r="H27" t="str">
        <v>AB</v>
      </c>
    </row>
    <row r="28">
      <c r="A28">
        <v>46085</v>
      </c>
      <c r="B28" t="str">
        <v>VP</v>
      </c>
      <c r="D28" t="str">
        <v>Văn phòng</v>
      </c>
      <c r="E28" t="str">
        <v>Phí chuyển tiền</v>
      </c>
      <c r="G28">
        <v>764574</v>
      </c>
      <c r="H28" t="str">
        <v>AB</v>
      </c>
    </row>
    <row r="29">
      <c r="A29">
        <v>46085</v>
      </c>
      <c r="B29" t="str">
        <v>VG18</v>
      </c>
      <c r="C29" t="str">
        <v>C5</v>
      </c>
      <c r="D29" t="str">
        <v>2.Chi Phí Cảng</v>
      </c>
      <c r="E29" t="str">
        <v>Đại lý C5 tại Sơn Dương</v>
      </c>
      <c r="G29">
        <v>48961216</v>
      </c>
      <c r="H29" t="str">
        <v>AB</v>
      </c>
      <c r="I29" t="str">
        <v>Lê Phạm</v>
      </c>
    </row>
    <row r="30">
      <c r="A30">
        <v>46085</v>
      </c>
      <c r="B30" t="str">
        <v>VG36</v>
      </c>
      <c r="C30" t="str">
        <v>C7</v>
      </c>
      <c r="D30" t="str">
        <v>2.Chi Phí Cảng</v>
      </c>
      <c r="E30" t="str">
        <v>Đại lý C7 tại Gò Gia</v>
      </c>
      <c r="G30">
        <v>43325000</v>
      </c>
      <c r="H30" t="str">
        <v>AB</v>
      </c>
      <c r="I30" t="str">
        <v>Sunshine</v>
      </c>
    </row>
    <row r="31">
      <c r="A31">
        <v>46085</v>
      </c>
      <c r="B31" t="str">
        <v>VG18</v>
      </c>
      <c r="C31" t="str">
        <v>C5</v>
      </c>
      <c r="D31" t="str">
        <v>2.Chi Phí Cảng</v>
      </c>
      <c r="E31" t="str">
        <v>Đại lý C5 tại HCM</v>
      </c>
      <c r="G31">
        <v>42134000</v>
      </c>
      <c r="H31" t="str">
        <v>AB</v>
      </c>
      <c r="I31" t="str">
        <v>Sunshine</v>
      </c>
    </row>
    <row r="32">
      <c r="A32">
        <v>46085</v>
      </c>
      <c r="B32" t="str">
        <v>VG18</v>
      </c>
      <c r="C32" t="str">
        <v>C6</v>
      </c>
      <c r="D32" t="str">
        <v>2.Chi Phí Cảng</v>
      </c>
      <c r="E32" t="str">
        <v>Đại lý C6 tại Đồng Nai</v>
      </c>
      <c r="G32">
        <v>42652569</v>
      </c>
      <c r="H32" t="str">
        <v>AB</v>
      </c>
      <c r="I32" t="str">
        <v>Sunshine</v>
      </c>
    </row>
    <row r="33">
      <c r="A33">
        <v>46085</v>
      </c>
      <c r="B33" t="str">
        <v>VG05</v>
      </c>
      <c r="C33" t="str">
        <v>C6</v>
      </c>
      <c r="D33" t="str">
        <v>2.Chi Phí Cảng</v>
      </c>
      <c r="E33" t="str">
        <v>Đại lý C6 tại Vĩnh Xương</v>
      </c>
      <c r="G33">
        <v>9860490</v>
      </c>
      <c r="H33" t="str">
        <v>AB</v>
      </c>
      <c r="I33" t="str">
        <v>Sông Hậu</v>
      </c>
    </row>
    <row r="34">
      <c r="A34">
        <v>46085</v>
      </c>
      <c r="B34" t="str">
        <v>VG09</v>
      </c>
      <c r="C34" t="str">
        <v>C6</v>
      </c>
      <c r="D34" t="str">
        <v>2.Chi Phí Cảng</v>
      </c>
      <c r="E34" t="str">
        <v>Đại lý C6 tại Cần Thơ</v>
      </c>
      <c r="G34">
        <v>21699456</v>
      </c>
      <c r="H34" t="str">
        <v>AB</v>
      </c>
      <c r="I34" t="str">
        <v>Sông Hậu</v>
      </c>
    </row>
    <row r="35">
      <c r="A35">
        <v>46085</v>
      </c>
      <c r="B35" t="str">
        <v>VG05</v>
      </c>
      <c r="C35" t="str">
        <v>C7</v>
      </c>
      <c r="D35" t="str">
        <v>2.Chi Phí Cảng</v>
      </c>
      <c r="E35" t="str">
        <v>Đại lý C7 tại Quảng Ninh</v>
      </c>
      <c r="G35">
        <v>7331240</v>
      </c>
      <c r="H35" t="str">
        <v>AB</v>
      </c>
    </row>
    <row r="36">
      <c r="A36">
        <v>46085</v>
      </c>
      <c r="B36" t="str">
        <v>VG05</v>
      </c>
      <c r="C36" t="str">
        <v>C7</v>
      </c>
      <c r="D36" t="str">
        <v>2.Chi Phí Cảng</v>
      </c>
      <c r="E36" t="str">
        <v>Đại lý C7 tại Quảng Ninh phí ngoài</v>
      </c>
      <c r="G36">
        <v>4000000</v>
      </c>
      <c r="H36" t="str">
        <v>CN</v>
      </c>
    </row>
    <row r="37">
      <c r="A37">
        <v>46085</v>
      </c>
      <c r="B37" t="str">
        <v>VG05</v>
      </c>
      <c r="C37" t="str">
        <v>C6</v>
      </c>
      <c r="D37" t="str">
        <v>2.Chi Phí Cảng</v>
      </c>
      <c r="E37" t="str">
        <v>Đại lý C6 tại Hải Phòng</v>
      </c>
      <c r="G37">
        <v>8845900</v>
      </c>
      <c r="H37" t="str">
        <v>AB</v>
      </c>
      <c r="I37" t="str">
        <v>Quốc Tế Xanh</v>
      </c>
    </row>
    <row r="38">
      <c r="A38">
        <v>46085</v>
      </c>
      <c r="B38" t="str">
        <v>VG36</v>
      </c>
      <c r="C38" t="str">
        <v>C5</v>
      </c>
      <c r="D38" t="str">
        <v>2.Chi Phí Cảng</v>
      </c>
      <c r="E38" t="str">
        <v>Đại lý C5 tại Hải Phòng</v>
      </c>
      <c r="G38">
        <v>28954579</v>
      </c>
      <c r="H38" t="str">
        <v>AB</v>
      </c>
      <c r="I38" t="str">
        <v>Quốc Tế Xanh</v>
      </c>
    </row>
    <row r="39">
      <c r="A39">
        <v>46085</v>
      </c>
      <c r="B39" t="str">
        <v>VG18</v>
      </c>
      <c r="D39" t="str">
        <v>4.Dầu DO</v>
      </c>
      <c r="E39" t="str">
        <v>Vận Chuyển dầu</v>
      </c>
      <c r="G39">
        <v>7845000</v>
      </c>
      <c r="H39" t="str">
        <v>AB</v>
      </c>
    </row>
    <row r="40">
      <c r="A40">
        <v>46116</v>
      </c>
      <c r="B40" t="str">
        <v>VG36</v>
      </c>
      <c r="C40">
        <v>9</v>
      </c>
      <c r="D40" t="str">
        <v>CVC</v>
      </c>
      <c r="E40" t="str">
        <v>HD9 VG36 Clinker Hòn La - Hậu Giang</v>
      </c>
      <c r="F40">
        <v>172049900</v>
      </c>
      <c r="H40" t="str">
        <v>VT</v>
      </c>
      <c r="I40" t="str">
        <v>Hoàng Quyên</v>
      </c>
    </row>
    <row r="41">
      <c r="A41">
        <v>46116</v>
      </c>
      <c r="B41" t="str">
        <v>VG05</v>
      </c>
      <c r="C41">
        <v>11</v>
      </c>
      <c r="D41" t="str">
        <v>CVC</v>
      </c>
      <c r="E41" t="str">
        <v>HD11 VG05 Cát Vĩnh Xương - Đà Nẵng</v>
      </c>
      <c r="F41">
        <f>500000000-F40</f>
        <v>327950100</v>
      </c>
      <c r="H41" t="str">
        <v>VT</v>
      </c>
      <c r="I41" t="str">
        <v>Hoàng Quyên</v>
      </c>
    </row>
    <row r="42">
      <c r="A42">
        <v>46146</v>
      </c>
      <c r="B42" t="str">
        <v>VG09</v>
      </c>
      <c r="C42" t="str">
        <v>C7</v>
      </c>
      <c r="D42" t="str">
        <v>2.Chi Phí Cảng</v>
      </c>
      <c r="E42" t="str">
        <v>Tàu lai tại Đà Nẵng C7</v>
      </c>
      <c r="G42">
        <v>9979200</v>
      </c>
      <c r="H42" t="str">
        <v>AB</v>
      </c>
    </row>
    <row r="43">
      <c r="A43">
        <v>46146</v>
      </c>
      <c r="B43" t="str">
        <v>VG09</v>
      </c>
      <c r="C43" t="str">
        <v>C7</v>
      </c>
      <c r="D43" t="str">
        <v>2.Chi Phí Cảng</v>
      </c>
      <c r="E43" t="str">
        <v>Cầu bến tại Đà Nẵng C7</v>
      </c>
      <c r="G43">
        <v>5826506</v>
      </c>
      <c r="H43" t="str">
        <v>AB</v>
      </c>
    </row>
    <row r="44">
      <c r="A44">
        <v>46177</v>
      </c>
      <c r="B44" t="str">
        <v>VG36</v>
      </c>
      <c r="D44" t="str">
        <v>1.Tàu Ứng</v>
      </c>
      <c r="E44" t="str">
        <v>Ứng tiền</v>
      </c>
      <c r="G44">
        <v>20000000</v>
      </c>
      <c r="H44" t="str">
        <v>AB</v>
      </c>
    </row>
    <row r="45">
      <c r="A45">
        <v>46177</v>
      </c>
      <c r="B45" t="str">
        <v>VG09</v>
      </c>
      <c r="D45" t="str">
        <v>1.Tàu Ứng</v>
      </c>
      <c r="E45" t="str">
        <v>Ứng tiền</v>
      </c>
      <c r="G45">
        <v>20000000</v>
      </c>
      <c r="H45" t="str">
        <v>AB</v>
      </c>
    </row>
    <row r="46">
      <c r="A46">
        <v>46177</v>
      </c>
      <c r="B46" t="str">
        <v>VG05</v>
      </c>
      <c r="D46" t="str">
        <v>1.Tàu Ứng</v>
      </c>
      <c r="E46" t="str">
        <v>Ứng tiền</v>
      </c>
      <c r="G46">
        <v>30000000</v>
      </c>
      <c r="H46" t="str">
        <v>AB</v>
      </c>
    </row>
    <row r="47">
      <c r="A47">
        <v>46207</v>
      </c>
      <c r="B47" t="str">
        <v>VG18</v>
      </c>
      <c r="D47" t="str">
        <v>1.Tàu Ứng</v>
      </c>
      <c r="E47" t="str">
        <v>Ứng tiền</v>
      </c>
      <c r="G47">
        <v>40000000</v>
      </c>
      <c r="H47" t="str">
        <v>VT</v>
      </c>
    </row>
    <row r="48">
      <c r="A48">
        <v>46238</v>
      </c>
      <c r="B48" t="str">
        <v>VG18</v>
      </c>
      <c r="C48" t="str">
        <v>C7</v>
      </c>
      <c r="D48" t="str">
        <v>2.Chi Phí Cảng</v>
      </c>
      <c r="E48" t="str">
        <v>Cầu bến lai dắt C7 tại Hòn La</v>
      </c>
      <c r="G48">
        <v>22653032</v>
      </c>
      <c r="H48" t="str">
        <v>AB</v>
      </c>
    </row>
    <row r="49">
      <c r="A49">
        <v>46238</v>
      </c>
      <c r="B49" t="str">
        <v>VG18</v>
      </c>
      <c r="C49" t="str">
        <v>C7</v>
      </c>
      <c r="D49" t="str">
        <v>2.Chi Phí Cảng</v>
      </c>
      <c r="E49" t="str">
        <v>Hoa tiêu lai dắt C7 tại Hòn La</v>
      </c>
      <c r="G49">
        <v>4320000</v>
      </c>
      <c r="H49" t="str">
        <v>AB</v>
      </c>
    </row>
    <row r="50">
      <c r="A50">
        <v>46238</v>
      </c>
      <c r="B50" t="str">
        <v>VG15</v>
      </c>
      <c r="D50" t="str">
        <v>1.Tàu Ứng</v>
      </c>
      <c r="E50" t="str">
        <v>Ứng tiền</v>
      </c>
      <c r="G50">
        <v>30000000</v>
      </c>
      <c r="H50" t="str">
        <v>VT</v>
      </c>
    </row>
    <row r="51">
      <c r="A51">
        <v>46238</v>
      </c>
      <c r="B51" t="str">
        <v>VG15</v>
      </c>
      <c r="D51" t="str">
        <v>1.Tàu Ứng</v>
      </c>
      <c r="E51" t="str">
        <v>Ứng tiền</v>
      </c>
      <c r="G51">
        <v>10000000</v>
      </c>
      <c r="H51" t="str">
        <v>AB</v>
      </c>
    </row>
    <row r="52">
      <c r="A52">
        <v>46238</v>
      </c>
      <c r="B52" t="str">
        <v>VG05</v>
      </c>
      <c r="C52">
        <v>25</v>
      </c>
      <c r="D52" t="str">
        <v>CVC</v>
      </c>
      <c r="E52" t="str">
        <v>Trả tiền gửi HD25 Thái Bình Dương</v>
      </c>
      <c r="G52">
        <v>55400000</v>
      </c>
      <c r="H52" t="str">
        <v>VT</v>
      </c>
    </row>
    <row r="53">
      <c r="A53">
        <v>46238</v>
      </c>
      <c r="B53" t="str">
        <v>VP</v>
      </c>
      <c r="D53" t="str">
        <v>Luân chuyển</v>
      </c>
      <c r="E53" t="str">
        <v>Luân chuyển tiền mặt</v>
      </c>
      <c r="G53">
        <v>14600000</v>
      </c>
      <c r="H53" t="str">
        <v>VT</v>
      </c>
    </row>
    <row r="54">
      <c r="A54">
        <v>46238</v>
      </c>
      <c r="B54" t="str">
        <v>VP</v>
      </c>
      <c r="D54" t="str">
        <v>Luân chuyển</v>
      </c>
      <c r="E54" t="str">
        <v>Luân chuyển tiền mặt</v>
      </c>
      <c r="F54">
        <v>14600000</v>
      </c>
      <c r="H54" t="str">
        <v>CN</v>
      </c>
    </row>
    <row r="55">
      <c r="A55">
        <v>46238</v>
      </c>
      <c r="B55" t="str">
        <v>VP</v>
      </c>
      <c r="D55" t="str">
        <v>Văn phòng</v>
      </c>
      <c r="E55" t="str">
        <v>Thăm viếng bố đối tác</v>
      </c>
      <c r="G55">
        <v>1000000</v>
      </c>
      <c r="H55" t="str">
        <v>CN</v>
      </c>
    </row>
    <row r="56">
      <c r="A56">
        <v>46269</v>
      </c>
      <c r="B56" t="str">
        <v>VG15</v>
      </c>
      <c r="C56">
        <v>23</v>
      </c>
      <c r="D56" t="str">
        <v>CVC</v>
      </c>
      <c r="E56" t="str">
        <v>HD23 VG15 Xỉ Sơn Dương - Hậu Giang</v>
      </c>
      <c r="F56">
        <v>425628000</v>
      </c>
      <c r="H56" t="str">
        <v>AB</v>
      </c>
      <c r="I56" t="str">
        <v>Ngọc Anh</v>
      </c>
    </row>
    <row r="57">
      <c r="A57">
        <v>46269</v>
      </c>
      <c r="B57" t="str">
        <v>VG18</v>
      </c>
      <c r="C57">
        <v>24</v>
      </c>
      <c r="D57" t="str">
        <v>CVC</v>
      </c>
      <c r="E57" t="str">
        <v>HD24 VG18 Cliker Hòn La - Hậu Giang</v>
      </c>
      <c r="F57">
        <f>980000000-F56</f>
        <v>554372000</v>
      </c>
      <c r="H57" t="str">
        <v>AB</v>
      </c>
      <c r="I57" t="str">
        <v>Ngọc Anh</v>
      </c>
    </row>
    <row r="58">
      <c r="A58">
        <v>46269</v>
      </c>
      <c r="B58" t="str">
        <v>VG18</v>
      </c>
      <c r="C58" t="str">
        <v>C7</v>
      </c>
      <c r="D58" t="str">
        <v>2.Chi Phí Cảng</v>
      </c>
      <c r="E58" t="str">
        <v>Phí ngoài Quảng Ninh</v>
      </c>
      <c r="G58">
        <v>11000000</v>
      </c>
      <c r="H58" t="str">
        <v>CN</v>
      </c>
    </row>
    <row r="59">
      <c r="A59">
        <v>46269</v>
      </c>
      <c r="B59" t="str">
        <v>VP</v>
      </c>
      <c r="D59" t="str">
        <v>Văn phòng</v>
      </c>
      <c r="E59" t="str">
        <v>Cước điện thoại</v>
      </c>
      <c r="G59">
        <v>776044</v>
      </c>
      <c r="H59" t="str">
        <v>CN</v>
      </c>
    </row>
    <row r="60">
      <c r="A60">
        <v>46299</v>
      </c>
      <c r="B60" t="str">
        <v>VG15</v>
      </c>
      <c r="D60" t="str">
        <v>4.Dầu DO</v>
      </c>
      <c r="E60" t="str">
        <v>Cấp dầu VG15 tại Đà Nẵng</v>
      </c>
      <c r="G60">
        <f>499000000+496392000</f>
        <v>995392000</v>
      </c>
      <c r="H60" t="str">
        <v>AB</v>
      </c>
    </row>
    <row r="61">
      <c r="A61">
        <v>46299</v>
      </c>
      <c r="B61" t="str">
        <v>VG15</v>
      </c>
      <c r="D61" t="str">
        <v>4.Dầu DO</v>
      </c>
      <c r="E61" t="str">
        <v>Vận chuyển dầu VG15 tại Đà Nẵng</v>
      </c>
      <c r="G61">
        <v>18120000</v>
      </c>
      <c r="H61" t="str">
        <v>AB</v>
      </c>
    </row>
    <row r="62">
      <c r="A62">
        <v>46299</v>
      </c>
      <c r="B62" t="str">
        <v>VG18</v>
      </c>
      <c r="C62" t="str">
        <v>C7</v>
      </c>
      <c r="D62" t="str">
        <v>2.Chi Phí Cảng</v>
      </c>
      <c r="E62" t="str">
        <v>Đại lý C7 Tại Quảng Ninh</v>
      </c>
      <c r="G62">
        <v>64699340</v>
      </c>
      <c r="H62" t="str">
        <v>AB</v>
      </c>
      <c r="I62" t="str">
        <v>Hoàng Đăng</v>
      </c>
    </row>
    <row r="63">
      <c r="A63">
        <v>46299</v>
      </c>
      <c r="B63" t="str">
        <v>VG18</v>
      </c>
      <c r="D63" t="str">
        <v>5.Dầu LO</v>
      </c>
      <c r="E63" t="str">
        <v>Cấp LO ngày 3/3</v>
      </c>
      <c r="G63">
        <v>54000000</v>
      </c>
      <c r="H63" t="str">
        <v>AB</v>
      </c>
      <c r="I63" t="str">
        <v>Alberta</v>
      </c>
    </row>
    <row r="64">
      <c r="A64">
        <v>46299</v>
      </c>
      <c r="B64" t="str">
        <v>VP</v>
      </c>
      <c r="D64" t="str">
        <v>Văn phòng</v>
      </c>
      <c r="E64" t="str">
        <v>SMS duy tri TK</v>
      </c>
      <c r="G64">
        <v>165000</v>
      </c>
      <c r="H64" t="str">
        <v>AB</v>
      </c>
    </row>
    <row r="65">
      <c r="A65">
        <v>46299</v>
      </c>
      <c r="B65" t="str">
        <v>VG36</v>
      </c>
      <c r="C65" t="str">
        <v>C6</v>
      </c>
      <c r="D65" t="str">
        <v>2.Chi Phí Cảng</v>
      </c>
      <c r="E65" t="str">
        <v>Hoa tiêu Sài Gòn C6 tại Đồng Nai</v>
      </c>
      <c r="G65">
        <v>5263110</v>
      </c>
      <c r="H65" t="str">
        <v>AB</v>
      </c>
    </row>
    <row r="66">
      <c r="A66">
        <v>46299</v>
      </c>
      <c r="B66" t="str">
        <v>VG05</v>
      </c>
      <c r="C66" t="str">
        <v>C8</v>
      </c>
      <c r="D66" t="str">
        <v>2.Chi Phí Cảng</v>
      </c>
      <c r="E66" t="str">
        <v>Đại lý C8 tại Sơn Dương</v>
      </c>
      <c r="G66">
        <v>41024305</v>
      </c>
      <c r="H66" t="str">
        <v>AB</v>
      </c>
      <c r="I66" t="str">
        <v>Lê Phạm</v>
      </c>
    </row>
    <row r="67">
      <c r="A67">
        <v>46299</v>
      </c>
      <c r="B67" t="str">
        <v>VG09</v>
      </c>
      <c r="C67" t="str">
        <v>C7</v>
      </c>
      <c r="D67" t="str">
        <v>2.Chi Phí Cảng</v>
      </c>
      <c r="E67" t="str">
        <v>Đại lý C7 tại Vĩnh Xương</v>
      </c>
      <c r="G67">
        <v>56448916</v>
      </c>
      <c r="H67" t="str">
        <v>AB</v>
      </c>
      <c r="I67" t="str">
        <v>Sông Hậu</v>
      </c>
    </row>
    <row r="68">
      <c r="A68">
        <v>46299</v>
      </c>
      <c r="B68" t="str">
        <v>VG15</v>
      </c>
      <c r="C68" t="str">
        <v>C8</v>
      </c>
      <c r="D68" t="str">
        <v>2.Chi Phí Cảng</v>
      </c>
      <c r="E68" t="str">
        <v>Tàu Lai C8 tại Đà Nẵng</v>
      </c>
      <c r="G68">
        <v>9979200</v>
      </c>
      <c r="H68" t="str">
        <v>AB</v>
      </c>
    </row>
    <row r="69">
      <c r="A69">
        <v>46299</v>
      </c>
      <c r="B69" t="str">
        <v>VG15</v>
      </c>
      <c r="C69" t="str">
        <v>C8</v>
      </c>
      <c r="D69" t="str">
        <v>2.Chi Phí Cảng</v>
      </c>
      <c r="E69" t="str">
        <v>Cầu bến C8 tại Đà Nẵng</v>
      </c>
      <c r="G69">
        <v>6079754</v>
      </c>
      <c r="H69" t="str">
        <v>AB</v>
      </c>
    </row>
    <row r="70">
      <c r="A70">
        <v>46299</v>
      </c>
      <c r="B70" t="str">
        <v>VG18</v>
      </c>
      <c r="D70" t="str">
        <v>1.Tàu Ứng</v>
      </c>
      <c r="E70" t="str">
        <v>Ứng tiền</v>
      </c>
      <c r="G70">
        <v>10000000</v>
      </c>
      <c r="H70" t="str">
        <v>CN</v>
      </c>
    </row>
    <row r="71">
      <c r="A71">
        <v>46299</v>
      </c>
      <c r="B71" t="str">
        <v>VG18</v>
      </c>
      <c r="C71">
        <v>24</v>
      </c>
      <c r="D71" t="str">
        <v>CVC</v>
      </c>
      <c r="E71" t="str">
        <v>HD24 VG18 Cliker Hòn La - Hậu Giang</v>
      </c>
      <c r="F71">
        <f>490000000+450434250</f>
        <v>940434250</v>
      </c>
      <c r="H71" t="str">
        <v>AB</v>
      </c>
      <c r="I71" t="str">
        <v>Ngọc Anh</v>
      </c>
    </row>
    <row r="72">
      <c r="A72">
        <v>46299</v>
      </c>
      <c r="B72" t="str">
        <v>VG18</v>
      </c>
      <c r="C72">
        <v>28</v>
      </c>
      <c r="D72" t="str">
        <v>CVC</v>
      </c>
      <c r="E72" t="str">
        <v>HD28 VG18 Xỉ Sơn Dương - HCM</v>
      </c>
      <c r="F72">
        <f>494594250-450434250+499000000</f>
        <v>543160000</v>
      </c>
      <c r="H72" t="str">
        <v>AB</v>
      </c>
      <c r="I72" t="str">
        <v>Ngọc Anh</v>
      </c>
    </row>
    <row r="73">
      <c r="A73">
        <v>46299</v>
      </c>
      <c r="B73" t="str">
        <v>VG05</v>
      </c>
      <c r="D73" t="str">
        <v>6.Lãi Vay</v>
      </c>
      <c r="E73" t="str">
        <v>Lãi vay ngắn hạn AB</v>
      </c>
      <c r="G73">
        <v>12454276.89708284</v>
      </c>
      <c r="H73" t="str">
        <v>AB</v>
      </c>
    </row>
    <row r="74">
      <c r="A74">
        <v>46299</v>
      </c>
      <c r="B74" t="str">
        <v>VG09</v>
      </c>
      <c r="D74" t="str">
        <v>6.Lãi Vay</v>
      </c>
      <c r="E74" t="str">
        <v>Lãi vay ngắn hạn AB</v>
      </c>
      <c r="G74">
        <v>3492355.6398366913</v>
      </c>
      <c r="H74" t="str">
        <v>AB</v>
      </c>
    </row>
    <row r="75">
      <c r="A75">
        <v>46299</v>
      </c>
      <c r="B75" t="str">
        <v>VG15</v>
      </c>
      <c r="D75" t="str">
        <v>6.Lãi Vay</v>
      </c>
      <c r="E75" t="str">
        <v>Lãi vay ngắn hạn AB</v>
      </c>
      <c r="G75">
        <v>6726975.84687845</v>
      </c>
      <c r="H75" t="str">
        <v>AB</v>
      </c>
    </row>
    <row r="76">
      <c r="A76">
        <v>46299</v>
      </c>
      <c r="B76" t="str">
        <v>VG18</v>
      </c>
      <c r="D76" t="str">
        <v>6.Lãi Vay</v>
      </c>
      <c r="E76" t="str">
        <v>Lãi vay ngắn hạn AB</v>
      </c>
      <c r="G76">
        <v>14983480.26313548</v>
      </c>
      <c r="H76" t="str">
        <v>AB</v>
      </c>
    </row>
    <row r="77">
      <c r="A77">
        <v>46299</v>
      </c>
      <c r="B77" t="str">
        <v>VG36</v>
      </c>
      <c r="D77" t="str">
        <v>6.Lãi Vay</v>
      </c>
      <c r="E77" t="str">
        <v>Lãi vay ngắn hạn AB</v>
      </c>
      <c r="G77">
        <v>6190783.3530665375</v>
      </c>
      <c r="H77" t="str">
        <v>AB</v>
      </c>
    </row>
    <row r="78">
      <c r="A78">
        <v>46330</v>
      </c>
      <c r="B78" t="str">
        <v>VG18</v>
      </c>
      <c r="C78">
        <v>28</v>
      </c>
      <c r="D78" t="str">
        <v>CVC</v>
      </c>
      <c r="E78" t="str">
        <v>HD28 VG18 Xỉ Sơn Dương - HCM</v>
      </c>
      <c r="F78">
        <v>450000000</v>
      </c>
      <c r="H78" t="str">
        <v>AB</v>
      </c>
      <c r="I78" t="str">
        <v>Ngọc Anh</v>
      </c>
    </row>
    <row r="79">
      <c r="A79">
        <v>46330</v>
      </c>
      <c r="B79" t="str">
        <v>VG36</v>
      </c>
      <c r="D79" t="str">
        <v>1.Tàu Ứng</v>
      </c>
      <c r="E79" t="str">
        <v>Ứng tiền</v>
      </c>
      <c r="G79">
        <v>20000000</v>
      </c>
      <c r="H79" t="str">
        <v>AB</v>
      </c>
    </row>
    <row r="80">
      <c r="A80" t="str">
        <v>13/4/2026</v>
      </c>
      <c r="B80" t="str">
        <v>VP</v>
      </c>
      <c r="D80" t="str">
        <v>Văn phòng</v>
      </c>
      <c r="E80" t="str">
        <v>Cước phí bưu điện</v>
      </c>
      <c r="G80">
        <v>20000</v>
      </c>
      <c r="H80" t="str">
        <v>AB</v>
      </c>
    </row>
    <row r="81">
      <c r="A81" t="str">
        <v>13/4/2026</v>
      </c>
      <c r="B81" t="str">
        <v>VG05</v>
      </c>
      <c r="D81" t="str">
        <v>4.Dầu DO</v>
      </c>
      <c r="E81" t="str">
        <v>Cấp dầu DO tại Đà Nẵng</v>
      </c>
      <c r="G81">
        <v>644368000</v>
      </c>
      <c r="H81" t="str">
        <v>AB</v>
      </c>
    </row>
    <row r="82">
      <c r="A82" t="str">
        <v>13/4/2026</v>
      </c>
      <c r="B82" t="str">
        <v>VG36</v>
      </c>
      <c r="D82" t="str">
        <v>4.Dầu DO</v>
      </c>
      <c r="E82" t="str">
        <v>Tra đủ  đơn dầu cấp 1/4</v>
      </c>
      <c r="G82">
        <v>367044800</v>
      </c>
      <c r="H82" t="str">
        <v>AB</v>
      </c>
    </row>
    <row r="83">
      <c r="A83" t="str">
        <v>13/4/2026</v>
      </c>
      <c r="B83" t="str">
        <v>VG36</v>
      </c>
      <c r="C83" t="str">
        <v>C9</v>
      </c>
      <c r="D83" t="str">
        <v>2.Chi Phí Cảng</v>
      </c>
      <c r="E83" t="str">
        <v>Tàu lai C9 Tại Vĩnh Hưng</v>
      </c>
      <c r="G83">
        <v>8640000</v>
      </c>
      <c r="H83" t="str">
        <v>AB</v>
      </c>
    </row>
    <row r="84">
      <c r="A84" t="str">
        <v>13/4/2026</v>
      </c>
      <c r="B84" t="str">
        <v>VG36</v>
      </c>
      <c r="C84" t="str">
        <v>C9</v>
      </c>
      <c r="D84" t="str">
        <v>2.Chi Phí Cảng</v>
      </c>
      <c r="E84" t="str">
        <v>Cầu bến C9 Tại Vĩnh Hưng</v>
      </c>
      <c r="G84">
        <v>5749189</v>
      </c>
      <c r="H84" t="str">
        <v>AB</v>
      </c>
    </row>
    <row r="85">
      <c r="A85" t="str">
        <v>13/4/2026</v>
      </c>
      <c r="B85" t="str">
        <v>VG09</v>
      </c>
      <c r="D85" t="str">
        <v>1.Tàu Ứng</v>
      </c>
      <c r="E85" t="str">
        <v>Ứng tiền</v>
      </c>
      <c r="G85">
        <v>20000000</v>
      </c>
      <c r="H85" t="str">
        <v>AB</v>
      </c>
    </row>
    <row r="86">
      <c r="A86" t="str">
        <v>13/4/2026</v>
      </c>
      <c r="B86" t="str">
        <v>VG05</v>
      </c>
      <c r="D86" t="str">
        <v>1.Tàu Ứng</v>
      </c>
      <c r="E86" t="str">
        <v>Ứng tiền</v>
      </c>
      <c r="G86">
        <v>30000000</v>
      </c>
      <c r="H86" t="str">
        <v>AB</v>
      </c>
    </row>
    <row r="87">
      <c r="A87" t="str">
        <v>13/4/2026</v>
      </c>
      <c r="B87" t="str">
        <v>VP</v>
      </c>
      <c r="D87" t="str">
        <v>Luân chuyển</v>
      </c>
      <c r="E87" t="str">
        <v>Nhận tiền mặt bà</v>
      </c>
      <c r="F87">
        <v>8900000</v>
      </c>
      <c r="H87" t="str">
        <v>CN</v>
      </c>
    </row>
    <row r="88">
      <c r="A88" t="str">
        <v>13/4/2026</v>
      </c>
      <c r="B88" t="str">
        <v>VG18</v>
      </c>
      <c r="D88" t="str">
        <v>9.Vật Tư</v>
      </c>
      <c r="E88" t="str">
        <v>Vĩnh công tác Hòn La mua đồ</v>
      </c>
      <c r="G88">
        <v>8900000</v>
      </c>
      <c r="H88" t="str">
        <v>CN</v>
      </c>
    </row>
    <row r="89">
      <c r="A89" t="str">
        <v>14/4/2026</v>
      </c>
      <c r="B89" t="str">
        <v>VP</v>
      </c>
      <c r="D89" t="str">
        <v>Văn phòng</v>
      </c>
      <c r="E89" t="str">
        <v>Phí BDSD</v>
      </c>
      <c r="G89">
        <v>150000</v>
      </c>
      <c r="H89" t="str">
        <v>VT</v>
      </c>
    </row>
    <row r="90">
      <c r="A90" t="str">
        <v>14/4/2026</v>
      </c>
      <c r="B90" t="str">
        <v>VG09</v>
      </c>
      <c r="D90" t="str">
        <v>9.Vật Tư</v>
      </c>
      <c r="E90" t="str">
        <v>Đồ máy 24 + vật tư 3/4</v>
      </c>
      <c r="G90">
        <v>4841000</v>
      </c>
      <c r="H90" t="str">
        <v>CN</v>
      </c>
    </row>
    <row r="91">
      <c r="A91" t="str">
        <v>14/4/2026</v>
      </c>
      <c r="B91" t="str">
        <v>VG18</v>
      </c>
      <c r="D91" t="str">
        <v>Nhận Nợ NH</v>
      </c>
      <c r="E91" t="str">
        <v>Trả gốc ngắn hạn</v>
      </c>
      <c r="G91">
        <f>540639000+527308</f>
        <v>541166308</v>
      </c>
      <c r="H91" t="str">
        <v>AB</v>
      </c>
    </row>
    <row r="92">
      <c r="A92" t="str">
        <v>15/4/2026</v>
      </c>
      <c r="B92" t="str">
        <v>VG18</v>
      </c>
      <c r="C92">
        <v>28</v>
      </c>
      <c r="D92" t="str">
        <v>CVC</v>
      </c>
      <c r="E92" t="str">
        <v>HD28 VG18 Xỉ Sơn Dương - HCM</v>
      </c>
      <c r="F92">
        <f>448610750+357840000</f>
        <v>806450750</v>
      </c>
      <c r="H92" t="str">
        <v>AB</v>
      </c>
      <c r="I92" t="str">
        <v>Ngọc Anh</v>
      </c>
    </row>
    <row r="93">
      <c r="A93" t="str">
        <v>15/4/2026</v>
      </c>
      <c r="B93" t="str">
        <v>VG09</v>
      </c>
      <c r="C93">
        <v>29</v>
      </c>
      <c r="D93" t="str">
        <v>CVC</v>
      </c>
      <c r="E93" t="str">
        <v>HD29 VG09 Xỉ Sơn Dương - XM Tây Đô</v>
      </c>
      <c r="F93">
        <f>400000000-357840000+448610750</f>
        <v>490770750</v>
      </c>
      <c r="H93" t="str">
        <v>AB</v>
      </c>
      <c r="I93" t="str">
        <v>Ngọc Anh</v>
      </c>
    </row>
    <row r="94">
      <c r="A94" t="str">
        <v>15/4/2026</v>
      </c>
      <c r="B94" t="str">
        <v>VG05</v>
      </c>
      <c r="C94" t="str">
        <v>C9</v>
      </c>
      <c r="D94" t="str">
        <v>2.Chi Phí Cảng</v>
      </c>
      <c r="E94" t="str">
        <v>Phí cầu bến C9 tại Đà Nẵng</v>
      </c>
      <c r="G94">
        <v>5554508</v>
      </c>
      <c r="H94" t="str">
        <v>AB</v>
      </c>
    </row>
    <row r="95">
      <c r="A95" t="str">
        <v>16/4/2026</v>
      </c>
      <c r="B95" t="str">
        <v>VG18</v>
      </c>
      <c r="D95" t="str">
        <v>9.Vật Tư</v>
      </c>
      <c r="E95" t="str">
        <v>Thép thanh châu</v>
      </c>
      <c r="G95">
        <v>12078807</v>
      </c>
      <c r="H95" t="str">
        <v>AB</v>
      </c>
    </row>
    <row r="96">
      <c r="A96" t="str">
        <v>16/4/2026</v>
      </c>
      <c r="B96" t="str">
        <v>VG36</v>
      </c>
      <c r="D96" t="str">
        <v>3.Lương</v>
      </c>
      <c r="E96" t="str">
        <v>Trả tiền vé máy bay</v>
      </c>
      <c r="G96">
        <v>6178400</v>
      </c>
      <c r="H96" t="str">
        <v>AB</v>
      </c>
    </row>
    <row r="97">
      <c r="A97" t="str">
        <v>16/4/2026</v>
      </c>
      <c r="B97" t="str">
        <v>VG36</v>
      </c>
      <c r="C97" t="str">
        <v>C9</v>
      </c>
      <c r="D97" t="str">
        <v>2.Chi Phí Cảng</v>
      </c>
      <c r="E97" t="str">
        <v>Hoa tiêu C9 tại Vĩnh Hưng</v>
      </c>
      <c r="G97">
        <v>4622125</v>
      </c>
      <c r="H97" t="str">
        <v>AB</v>
      </c>
    </row>
    <row r="98">
      <c r="A98" t="str">
        <v>16/4/2026</v>
      </c>
      <c r="B98" t="str">
        <v>VG18</v>
      </c>
      <c r="D98" t="str">
        <v>9.Vật Tư</v>
      </c>
      <c r="E98" t="str">
        <v>Dây buộc tàu</v>
      </c>
      <c r="G98">
        <v>32253750</v>
      </c>
      <c r="H98" t="str">
        <v>AB</v>
      </c>
    </row>
    <row r="99">
      <c r="A99" t="str">
        <v>16/4/2026</v>
      </c>
      <c r="B99" t="str">
        <v>VG05</v>
      </c>
      <c r="C99" t="str">
        <v>C8</v>
      </c>
      <c r="D99" t="str">
        <v>2.Chi Phí Cảng</v>
      </c>
      <c r="E99" t="str">
        <v>Đại lý C8 tại Hậu Giang</v>
      </c>
      <c r="G99">
        <v>10292000</v>
      </c>
      <c r="H99" t="str">
        <v>AB</v>
      </c>
      <c r="I99" t="str">
        <v>Sông Hậu</v>
      </c>
    </row>
    <row r="100">
      <c r="A100" t="str">
        <v>16/4/2026</v>
      </c>
      <c r="B100" t="str">
        <v>VG05</v>
      </c>
      <c r="C100" t="str">
        <v>C9</v>
      </c>
      <c r="D100" t="str">
        <v>2.Chi Phí Cảng</v>
      </c>
      <c r="E100" t="str">
        <v>Đại lý C9 tại Vĩnh Xương</v>
      </c>
      <c r="G100">
        <v>7000000</v>
      </c>
      <c r="H100" t="str">
        <v>AB</v>
      </c>
      <c r="I100" t="str">
        <v>Sông Hậu</v>
      </c>
    </row>
    <row r="101">
      <c r="A101" t="str">
        <v>16/4/2026</v>
      </c>
      <c r="B101" t="str">
        <v>VG15</v>
      </c>
      <c r="C101" t="str">
        <v>C7</v>
      </c>
      <c r="D101" t="str">
        <v>2.Chi Phí Cảng</v>
      </c>
      <c r="E101" t="str">
        <v>Đại lý C7 tại Cần Thơ</v>
      </c>
      <c r="G101">
        <v>37347000</v>
      </c>
      <c r="H101" t="str">
        <v>AB</v>
      </c>
      <c r="I101" t="str">
        <v>Sông Hậu</v>
      </c>
    </row>
    <row r="102">
      <c r="A102" t="str">
        <v>16/4/2026</v>
      </c>
      <c r="B102" t="str">
        <v>VG15</v>
      </c>
      <c r="C102" t="str">
        <v>C8</v>
      </c>
      <c r="D102" t="str">
        <v>2.Chi Phí Cảng</v>
      </c>
      <c r="E102" t="str">
        <v>Đại lý C8 tại VĨnh Xương</v>
      </c>
      <c r="G102">
        <v>54488023</v>
      </c>
      <c r="H102" t="str">
        <v>AB</v>
      </c>
      <c r="I102" t="str">
        <v>Sông Hậu</v>
      </c>
      <c r="J102">
        <f>109127023-SUM(G99:G101)</f>
        <v>54488023</v>
      </c>
    </row>
    <row r="103">
      <c r="A103" t="str">
        <v>16/4/2026</v>
      </c>
      <c r="B103" t="str">
        <v>VG18</v>
      </c>
      <c r="C103" t="str">
        <v>C6</v>
      </c>
      <c r="D103" t="str">
        <v>2.Chi Phí Cảng</v>
      </c>
      <c r="E103" t="str">
        <v>Đại lý C6 tại Hải Phòng</v>
      </c>
      <c r="G103">
        <v>37297152</v>
      </c>
      <c r="H103" t="str">
        <v>AB</v>
      </c>
      <c r="I103" t="str">
        <v>Quốc Tế Xanh</v>
      </c>
    </row>
    <row r="104">
      <c r="A104" t="str">
        <v>16/4/2026</v>
      </c>
      <c r="B104" t="str">
        <v>VG05</v>
      </c>
      <c r="C104">
        <v>11</v>
      </c>
      <c r="D104" t="str">
        <v>CVC</v>
      </c>
      <c r="E104" t="str">
        <v>HD11 VG05 Cát Vĩnh Xương - Đà Nẵng</v>
      </c>
      <c r="F104">
        <v>168228900</v>
      </c>
      <c r="H104" t="str">
        <v>VT</v>
      </c>
      <c r="I104" t="str">
        <v>Hoàng Quyên</v>
      </c>
    </row>
    <row r="105">
      <c r="A105" t="str">
        <v>16/4/2026</v>
      </c>
      <c r="B105" t="str">
        <v>VG05</v>
      </c>
      <c r="C105">
        <v>20</v>
      </c>
      <c r="D105" t="str">
        <v>CVC</v>
      </c>
      <c r="E105" t="str">
        <v>HD20 VG05 Cát Vĩnh Xương - Đà Nẵng</v>
      </c>
      <c r="F105">
        <v>534733650</v>
      </c>
      <c r="H105" t="str">
        <v>VT</v>
      </c>
      <c r="I105" t="str">
        <v>Hoàng Quyên</v>
      </c>
    </row>
    <row r="106">
      <c r="A106" t="str">
        <v>16/4/2026</v>
      </c>
      <c r="B106" t="str">
        <v>VG09</v>
      </c>
      <c r="C106">
        <v>26</v>
      </c>
      <c r="D106" t="str">
        <v>CVC</v>
      </c>
      <c r="E106" t="str">
        <v>HD26 VG09 Cát Vĩnh Xương - Đà Nẵng</v>
      </c>
      <c r="F106">
        <f>1000000000-534733650-168228900</f>
        <v>297037450</v>
      </c>
      <c r="H106" t="str">
        <v>VT</v>
      </c>
      <c r="I106" t="str">
        <v>Hoàng Quyên</v>
      </c>
    </row>
    <row r="107">
      <c r="A107" t="str">
        <v>16/4/2026</v>
      </c>
      <c r="B107" t="str">
        <v>VG09</v>
      </c>
      <c r="C107">
        <v>50</v>
      </c>
      <c r="D107" t="str">
        <v>CVC</v>
      </c>
      <c r="E107" t="str">
        <v>HD50 VG09 Cát Vĩnh Xương - Huy Văn</v>
      </c>
      <c r="F107">
        <v>50000000</v>
      </c>
      <c r="H107" t="str">
        <v>AB</v>
      </c>
      <c r="I107" t="str">
        <v>Bình Minh</v>
      </c>
    </row>
    <row r="108">
      <c r="A108" t="str">
        <v>17/4/2026</v>
      </c>
      <c r="B108" t="str">
        <v>VG15</v>
      </c>
      <c r="D108" t="str">
        <v>1.Tàu Ứng</v>
      </c>
      <c r="E108" t="str">
        <v>Ứng tiền</v>
      </c>
      <c r="G108">
        <v>20000000</v>
      </c>
      <c r="H108" t="str">
        <v>AB</v>
      </c>
    </row>
    <row r="109">
      <c r="A109" t="str">
        <v>17/4/2026</v>
      </c>
      <c r="B109" t="str">
        <v>VG18</v>
      </c>
      <c r="D109" t="str">
        <v>1.Tàu Ứng</v>
      </c>
      <c r="E109" t="str">
        <v>Ứng tiền</v>
      </c>
      <c r="G109">
        <v>30000000</v>
      </c>
      <c r="H109" t="str">
        <v>AB</v>
      </c>
    </row>
    <row r="110">
      <c r="A110" t="str">
        <v>17/4/2026</v>
      </c>
      <c r="B110" t="str">
        <v>VGnew</v>
      </c>
      <c r="E110" t="str">
        <v>Chuyển tiền thiết kế</v>
      </c>
      <c r="G110">
        <v>100000000</v>
      </c>
      <c r="H110" t="str">
        <v>AB</v>
      </c>
      <c r="I110" t="str">
        <v>Công ty Đại Dương</v>
      </c>
    </row>
    <row r="111">
      <c r="A111" t="str">
        <v>18/4/2026</v>
      </c>
      <c r="B111" t="str">
        <v>VG36</v>
      </c>
      <c r="D111" t="str">
        <v>1.Tàu Ứng</v>
      </c>
      <c r="E111" t="str">
        <v>Ứng tiền</v>
      </c>
      <c r="G111">
        <v>30000000</v>
      </c>
      <c r="H111" t="str">
        <v>VT</v>
      </c>
    </row>
    <row r="112">
      <c r="A112" t="str">
        <v>20/4/2026</v>
      </c>
      <c r="B112" t="str">
        <v>VG18</v>
      </c>
      <c r="D112" t="str">
        <v>7.Bảo Hiểm</v>
      </c>
      <c r="E112" t="str">
        <v>Bảo hiểm tàu kỳ 2</v>
      </c>
      <c r="G112">
        <v>139122500</v>
      </c>
      <c r="H112" t="str">
        <v>AB</v>
      </c>
    </row>
    <row r="113">
      <c r="A113" t="str">
        <v>20/4/2026</v>
      </c>
      <c r="B113" t="str">
        <v>VG09</v>
      </c>
      <c r="D113" t="str">
        <v>1.Tàu Ứng</v>
      </c>
      <c r="E113" t="str">
        <v>Ứng tiền</v>
      </c>
      <c r="G113">
        <v>30000000</v>
      </c>
      <c r="H113" t="str">
        <v>AB</v>
      </c>
    </row>
    <row r="114">
      <c r="A114" t="str">
        <v>20/4/2026</v>
      </c>
      <c r="B114" t="str">
        <v>VG05</v>
      </c>
      <c r="D114" t="str">
        <v>1.Tàu Ứng</v>
      </c>
      <c r="E114" t="str">
        <v>Ứng tiền</v>
      </c>
      <c r="G114">
        <v>30000000</v>
      </c>
      <c r="H114" t="str">
        <v>AB</v>
      </c>
    </row>
    <row r="115">
      <c r="A115" t="str">
        <v>20/4/2026</v>
      </c>
      <c r="B115" t="str">
        <v>VG18</v>
      </c>
      <c r="D115" t="str">
        <v>6.Lãi Vay</v>
      </c>
      <c r="E115" t="str">
        <v>Trả gốc trung hạn</v>
      </c>
      <c r="G115">
        <v>803265000</v>
      </c>
      <c r="H115" t="str">
        <v>AB</v>
      </c>
    </row>
    <row r="116">
      <c r="A116" t="str">
        <v>20/4/2026</v>
      </c>
      <c r="B116" t="str">
        <v>VG18</v>
      </c>
      <c r="D116" t="str">
        <v>6.Lãi Vay</v>
      </c>
      <c r="E116" t="str">
        <v>Trả lãi trung hạn</v>
      </c>
      <c r="G116">
        <v>261987302</v>
      </c>
      <c r="H116" t="str">
        <v>AB</v>
      </c>
    </row>
    <row r="117">
      <c r="A117" t="str">
        <v>22/4/2026</v>
      </c>
      <c r="B117" t="str">
        <v>VG15</v>
      </c>
      <c r="D117" t="str">
        <v>1.Tàu Ứng</v>
      </c>
      <c r="E117" t="str">
        <v>Ứng tiền</v>
      </c>
      <c r="G117">
        <v>20000000</v>
      </c>
      <c r="H117" t="str">
        <v>AB</v>
      </c>
    </row>
    <row r="118">
      <c r="A118" t="str">
        <v>23/4/2026</v>
      </c>
      <c r="B118" t="str">
        <v>VG18</v>
      </c>
      <c r="D118" t="str">
        <v>1.Tàu Ứng</v>
      </c>
      <c r="E118" t="str">
        <v>Ứng tiền</v>
      </c>
      <c r="G118">
        <v>20000000</v>
      </c>
      <c r="H118" t="str">
        <v>AB</v>
      </c>
    </row>
    <row r="119">
      <c r="A119" t="str">
        <v>23/4/2026</v>
      </c>
      <c r="B119" t="str">
        <v>VG09</v>
      </c>
      <c r="C119" t="str">
        <v>C8</v>
      </c>
      <c r="D119" t="str">
        <v>2.Chi Phí Cảng</v>
      </c>
      <c r="E119" t="str">
        <v>Đại lý C8 tại Sơn Dương</v>
      </c>
      <c r="G119">
        <v>41383000</v>
      </c>
      <c r="H119" t="str">
        <v>AB</v>
      </c>
      <c r="I119" t="str">
        <v>Lê Phạm</v>
      </c>
      <c r="J119">
        <f>163878760-SUM(G119:G121)</f>
        <v>44609760</v>
      </c>
    </row>
    <row r="120">
      <c r="A120" t="str">
        <v>23/4/2026</v>
      </c>
      <c r="B120" t="str">
        <v>VG15</v>
      </c>
      <c r="C120" t="str">
        <v>C9</v>
      </c>
      <c r="D120" t="str">
        <v>2.Chi Phí Cảng</v>
      </c>
      <c r="E120" t="str">
        <v>Đại lý C9 tại Sơn Dương</v>
      </c>
      <c r="G120">
        <v>36769000</v>
      </c>
      <c r="H120" t="str">
        <v>AB</v>
      </c>
      <c r="I120" t="str">
        <v>Lê Phạm</v>
      </c>
    </row>
    <row r="121">
      <c r="A121" t="str">
        <v>23/4/2026</v>
      </c>
      <c r="B121" t="str">
        <v>VG18</v>
      </c>
      <c r="C121" t="str">
        <v>C8</v>
      </c>
      <c r="D121" t="str">
        <v>2.Chi Phí Cảng</v>
      </c>
      <c r="E121" t="str">
        <v>Đại lý C8 tại Sơn Dương</v>
      </c>
      <c r="G121">
        <v>41117000</v>
      </c>
      <c r="H121" t="str">
        <v>AB</v>
      </c>
      <c r="I121" t="str">
        <v>Lê Phạm</v>
      </c>
    </row>
    <row r="122">
      <c r="A122" t="str">
        <v>23/4/2026</v>
      </c>
      <c r="B122" t="str">
        <v>VG36</v>
      </c>
      <c r="C122" t="str">
        <v>C8</v>
      </c>
      <c r="D122" t="str">
        <v>2.Chi Phí Cảng</v>
      </c>
      <c r="E122" t="str">
        <v>Đại lý C8 tại Sơn Dương</v>
      </c>
      <c r="G122">
        <v>44609760</v>
      </c>
      <c r="H122" t="str">
        <v>AB</v>
      </c>
      <c r="I122" t="str">
        <v>Lê Phạm</v>
      </c>
    </row>
    <row r="123">
      <c r="A123" t="str">
        <v>23/4/2026</v>
      </c>
      <c r="B123" t="str">
        <v>VG36</v>
      </c>
      <c r="C123" t="str">
        <v>C9</v>
      </c>
      <c r="D123" t="str">
        <v>2.Chi Phí Cảng</v>
      </c>
      <c r="E123" t="str">
        <v>Phí cầu bến tại Đà Nẵng</v>
      </c>
      <c r="G123">
        <v>9334267</v>
      </c>
      <c r="H123" t="str">
        <v>AB</v>
      </c>
    </row>
    <row r="124">
      <c r="A124" t="str">
        <v>23/4/2026</v>
      </c>
      <c r="B124" t="str">
        <v>VG36</v>
      </c>
      <c r="C124" t="str">
        <v>C9</v>
      </c>
      <c r="D124" t="str">
        <v>2.Chi Phí Cảng</v>
      </c>
      <c r="E124" t="str">
        <v>Tàu lai tại Đà Nẵng</v>
      </c>
      <c r="G124">
        <v>9979200</v>
      </c>
      <c r="H124" t="str">
        <v>AB</v>
      </c>
    </row>
    <row r="125">
      <c r="A125" t="str">
        <v>23/4/2026</v>
      </c>
      <c r="B125" t="str">
        <v>VG09</v>
      </c>
      <c r="C125">
        <v>29</v>
      </c>
      <c r="D125" t="str">
        <v>CVC</v>
      </c>
      <c r="E125" t="str">
        <v>HD29 VG09 Xỉ Sơn Dương - XM Tây Đô</v>
      </c>
      <c r="F125">
        <v>646829250</v>
      </c>
      <c r="H125" t="str">
        <v>AB</v>
      </c>
      <c r="I125" t="str">
        <v>Ngọc Anh</v>
      </c>
    </row>
    <row r="126">
      <c r="A126" t="str">
        <v>23/4/2026</v>
      </c>
      <c r="B126" t="str">
        <v>VG36</v>
      </c>
      <c r="C126">
        <v>30</v>
      </c>
      <c r="D126" t="str">
        <v>CVC</v>
      </c>
      <c r="E126" t="str">
        <v>HD30 VG36 Clinker Hòn La - HCM</v>
      </c>
      <c r="F126">
        <f>823170750+100392150</f>
        <v>923562900</v>
      </c>
      <c r="H126" t="str">
        <v>AB</v>
      </c>
      <c r="I126" t="str">
        <v>Ngọc Anh</v>
      </c>
    </row>
    <row r="127">
      <c r="A127" t="str">
        <v>24/4/2026</v>
      </c>
      <c r="B127" t="str">
        <v>VG05</v>
      </c>
      <c r="C127">
        <v>31</v>
      </c>
      <c r="D127" t="str">
        <v>CVC</v>
      </c>
      <c r="E127" t="str">
        <v>HD31 VG05 Than Quảng Ninh - Nghi Sơn</v>
      </c>
      <c r="F127">
        <v>346465800</v>
      </c>
      <c r="H127" t="str">
        <v>AB</v>
      </c>
      <c r="I127" t="str">
        <v>Ngọc Anh</v>
      </c>
    </row>
    <row r="128">
      <c r="A128" t="str">
        <v>24/4/2026</v>
      </c>
      <c r="B128" t="str">
        <v>VG36</v>
      </c>
      <c r="C128">
        <v>32</v>
      </c>
      <c r="D128" t="str">
        <v>CVC</v>
      </c>
      <c r="E128" t="str">
        <v>HD32 VG36 Than Gò Da - Đà Nẵng</v>
      </c>
      <c r="F128">
        <f>213582260-46857950</f>
        <v>166724310</v>
      </c>
      <c r="H128" t="str">
        <v>AB</v>
      </c>
      <c r="I128" t="str">
        <v>Ngọc Anh</v>
      </c>
    </row>
    <row r="129">
      <c r="A129" t="str">
        <v>24/4/2026</v>
      </c>
      <c r="B129" t="str">
        <v>VG36</v>
      </c>
      <c r="C129" t="str">
        <v>C8</v>
      </c>
      <c r="D129" t="str">
        <v>2.Chi Phí Cảng</v>
      </c>
      <c r="E129" t="str">
        <v>Đại lý C8 tại HCM</v>
      </c>
      <c r="G129">
        <v>27997070</v>
      </c>
      <c r="H129" t="str">
        <v>AB</v>
      </c>
      <c r="I129" t="str">
        <v>Sunshine</v>
      </c>
    </row>
    <row r="130">
      <c r="A130" t="str">
        <v>24/4/2026</v>
      </c>
      <c r="B130" t="str">
        <v>VG36</v>
      </c>
      <c r="C130" t="str">
        <v>C9</v>
      </c>
      <c r="D130" t="str">
        <v>2.Chi Phí Cảng</v>
      </c>
      <c r="E130" t="str">
        <v>Đại lý C9 tại Hậu Giang</v>
      </c>
      <c r="G130">
        <v>33300235</v>
      </c>
      <c r="H130" t="str">
        <v>AB</v>
      </c>
      <c r="I130" t="str">
        <v>Sông Hậu</v>
      </c>
    </row>
    <row r="131">
      <c r="A131" t="str">
        <v>24/4/2026</v>
      </c>
      <c r="B131" t="str">
        <v>VG09</v>
      </c>
      <c r="D131" t="str">
        <v>4.Dầu DO</v>
      </c>
      <c r="E131" t="str">
        <v>Trả tiền dầu DO</v>
      </c>
      <c r="G131">
        <v>325611930</v>
      </c>
      <c r="H131" t="str">
        <v>AB</v>
      </c>
      <c r="I131" t="str">
        <v>Petrotime</v>
      </c>
    </row>
    <row r="132">
      <c r="A132" t="str">
        <v>24/4/2026</v>
      </c>
      <c r="B132" t="str">
        <v>VG18</v>
      </c>
      <c r="D132" t="str">
        <v>4.Dầu DO</v>
      </c>
      <c r="E132" t="str">
        <v>Trả tiền dầu DO</v>
      </c>
      <c r="G132">
        <v>550000000</v>
      </c>
      <c r="H132" t="str">
        <v>AB</v>
      </c>
      <c r="I132" t="str">
        <v>Hoàng Khải</v>
      </c>
    </row>
    <row r="133">
      <c r="A133" t="str">
        <v>24/4/2026</v>
      </c>
      <c r="B133" t="str">
        <v>VG05</v>
      </c>
      <c r="D133" t="str">
        <v>7.Bảo Hiểm</v>
      </c>
      <c r="E133" t="str">
        <v>BHXH T3</v>
      </c>
      <c r="G133">
        <f>108320000/5</f>
        <v>21664000</v>
      </c>
      <c r="H133" t="str">
        <v>AB</v>
      </c>
    </row>
    <row r="134">
      <c r="A134" t="str">
        <v>24/4/2026</v>
      </c>
      <c r="B134" t="str">
        <v>VG09</v>
      </c>
      <c r="D134" t="str">
        <v>7.Bảo Hiểm</v>
      </c>
      <c r="E134" t="str">
        <v>BHXH T3</v>
      </c>
      <c r="G134">
        <f>108320000/5</f>
        <v>21664000</v>
      </c>
      <c r="H134" t="str">
        <v>AB</v>
      </c>
    </row>
    <row r="135">
      <c r="A135" t="str">
        <v>24/4/2026</v>
      </c>
      <c r="B135" t="str">
        <v>VG15</v>
      </c>
      <c r="D135" t="str">
        <v>7.Bảo Hiểm</v>
      </c>
      <c r="E135" t="str">
        <v>BHXH T3</v>
      </c>
      <c r="G135">
        <f>108320000/5</f>
        <v>21664000</v>
      </c>
      <c r="H135" t="str">
        <v>AB</v>
      </c>
    </row>
    <row r="136">
      <c r="A136" t="str">
        <v>24/4/2026</v>
      </c>
      <c r="B136" t="str">
        <v>VG18</v>
      </c>
      <c r="D136" t="str">
        <v>7.Bảo Hiểm</v>
      </c>
      <c r="E136" t="str">
        <v>BHXH T3</v>
      </c>
      <c r="G136">
        <f>108320000/5</f>
        <v>21664000</v>
      </c>
      <c r="H136" t="str">
        <v>AB</v>
      </c>
    </row>
    <row r="137">
      <c r="A137" t="str">
        <v>24/4/2026</v>
      </c>
      <c r="B137" t="str">
        <v>VG36</v>
      </c>
      <c r="D137" t="str">
        <v>7.Bảo Hiểm</v>
      </c>
      <c r="E137" t="str">
        <v>BHXH T3</v>
      </c>
      <c r="G137">
        <f>108320000/5</f>
        <v>21664000</v>
      </c>
      <c r="H137" t="str">
        <v>AB</v>
      </c>
    </row>
    <row r="138">
      <c r="A138" t="str">
        <v>25/4/2026</v>
      </c>
      <c r="B138" t="str">
        <v>VG36</v>
      </c>
      <c r="D138" t="str">
        <v>4.Dầu DO</v>
      </c>
      <c r="E138" t="str">
        <v>Cấp dầu DO tại Chân mây</v>
      </c>
      <c r="G138">
        <v>562590074</v>
      </c>
      <c r="H138" t="str">
        <v>AB</v>
      </c>
      <c r="I138" t="str">
        <v>Cảng Chân Mây</v>
      </c>
      <c r="J138">
        <f>+T4</f>
        <v>1697159405</v>
      </c>
    </row>
    <row r="139">
      <c r="A139" t="str">
        <v>26/4/2026</v>
      </c>
      <c r="B139" t="str">
        <v>VG36</v>
      </c>
      <c r="C139" t="str">
        <v>C10</v>
      </c>
      <c r="D139" t="str">
        <v>2.Chi Phí Cảng</v>
      </c>
      <c r="E139" t="str">
        <v>Cầu bến , lai dắt tại Chân mây</v>
      </c>
      <c r="G139">
        <v>19019340</v>
      </c>
      <c r="H139" t="str">
        <v>AB</v>
      </c>
      <c r="J139">
        <f>519690-349861</f>
        <v>169829</v>
      </c>
    </row>
    <row r="140">
      <c r="A140" t="str">
        <v>26/4/2026</v>
      </c>
      <c r="B140" t="str">
        <v>VP</v>
      </c>
      <c r="D140" t="str">
        <v>Văn phòng</v>
      </c>
      <c r="E140" t="str">
        <v>Trả lãi TK</v>
      </c>
      <c r="F140">
        <v>169829</v>
      </c>
      <c r="H140" t="str">
        <v>AB</v>
      </c>
    </row>
    <row r="141">
      <c r="A141" t="str">
        <v>28/4/2026</v>
      </c>
      <c r="B141" t="str">
        <v>VG09</v>
      </c>
      <c r="C141">
        <v>50</v>
      </c>
      <c r="D141" t="str">
        <v>CVC</v>
      </c>
      <c r="E141" t="str">
        <v>HD50 VG09 Cát Vĩnh Xương - Huy Văn</v>
      </c>
      <c r="F141">
        <v>300000000</v>
      </c>
      <c r="H141" t="str">
        <v>AB</v>
      </c>
      <c r="I141" t="str">
        <v>Bình Minh</v>
      </c>
    </row>
    <row r="142">
      <c r="A142" t="str">
        <v>28/4/2026</v>
      </c>
      <c r="B142" t="str">
        <v>VG09</v>
      </c>
      <c r="D142" t="str">
        <v>9.Vật Tư</v>
      </c>
      <c r="E142" t="str">
        <v>Vật tư phụ</v>
      </c>
      <c r="G142">
        <v>4306354</v>
      </c>
      <c r="H142" t="str">
        <v>VT</v>
      </c>
      <c r="I142" t="str">
        <v>Công ty Tố My</v>
      </c>
    </row>
    <row r="143">
      <c r="A143" t="str">
        <v>28/4/2026</v>
      </c>
      <c r="B143" t="str">
        <v>VP</v>
      </c>
      <c r="D143" t="str">
        <v>Văn phòng</v>
      </c>
      <c r="E143" t="str">
        <v>Máy tính + máy in</v>
      </c>
      <c r="G143">
        <v>22050000</v>
      </c>
      <c r="H143" t="str">
        <v>VT</v>
      </c>
    </row>
    <row r="144">
      <c r="A144" t="str">
        <v>28/4/2026</v>
      </c>
      <c r="B144" t="str">
        <v>VG09</v>
      </c>
      <c r="D144" t="str">
        <v>9.Vật Tư</v>
      </c>
      <c r="E144" t="str">
        <v>Sơn HP</v>
      </c>
      <c r="G144">
        <v>14220000</v>
      </c>
      <c r="H144" t="str">
        <v>AB</v>
      </c>
      <c r="I144" t="str">
        <v>Sơn HP</v>
      </c>
      <c r="J144">
        <f>18426085-G144</f>
        <v>4206085</v>
      </c>
    </row>
    <row r="145">
      <c r="A145" t="str">
        <v>28/4/2026</v>
      </c>
      <c r="B145" t="str">
        <v>VG05</v>
      </c>
      <c r="D145" t="str">
        <v>9.Vật Tư</v>
      </c>
      <c r="E145" t="str">
        <v>Sơn HP</v>
      </c>
      <c r="G145">
        <v>4206085</v>
      </c>
      <c r="H145" t="str">
        <v>AB</v>
      </c>
      <c r="I145" t="str">
        <v>Sơn HP</v>
      </c>
    </row>
    <row r="146">
      <c r="A146" t="str">
        <v>28/4/2026</v>
      </c>
      <c r="B146" t="str">
        <v>VG18</v>
      </c>
      <c r="D146" t="str">
        <v>9.Vật Tư</v>
      </c>
      <c r="E146" t="str">
        <v>Bồi dưỡng sửa chưa tời lái</v>
      </c>
      <c r="G146">
        <v>2000000</v>
      </c>
      <c r="H146" t="str">
        <v>CN</v>
      </c>
    </row>
    <row r="147">
      <c r="A147" t="str">
        <v>29/4/2026</v>
      </c>
      <c r="B147" t="str">
        <v>VG36</v>
      </c>
      <c r="C147">
        <v>32</v>
      </c>
      <c r="D147" t="str">
        <v>CVC</v>
      </c>
      <c r="E147" t="str">
        <v>HD32 VG36 Than Gò Da - Đà Nẵng</v>
      </c>
      <c r="F147">
        <v>343275690</v>
      </c>
      <c r="H147" t="str">
        <v>AB</v>
      </c>
      <c r="I147" t="str">
        <v>Ngọc Anh</v>
      </c>
    </row>
    <row r="148">
      <c r="A148" t="str">
        <v>29/4/2026</v>
      </c>
      <c r="B148" t="str">
        <v>VG05</v>
      </c>
      <c r="C148">
        <v>33</v>
      </c>
      <c r="D148" t="str">
        <v>CVC</v>
      </c>
      <c r="E148" t="str">
        <v>HD33 VG05 Quặng Vĩnh Xương - Hải Phòng</v>
      </c>
      <c r="F148">
        <f>490000000+457065800-343275690</f>
        <v>603790110</v>
      </c>
      <c r="H148" t="str">
        <v>AB</v>
      </c>
      <c r="I148" t="str">
        <v>Ngọc Anh</v>
      </c>
    </row>
    <row r="149">
      <c r="A149" t="str">
        <v>29/4/2026</v>
      </c>
      <c r="B149" t="str">
        <v>VG15</v>
      </c>
      <c r="D149" t="str">
        <v>1.Tàu Ứng</v>
      </c>
      <c r="E149" t="str">
        <v>Ứng tiền</v>
      </c>
      <c r="G149">
        <v>30000000</v>
      </c>
      <c r="H149" t="str">
        <v>AB</v>
      </c>
    </row>
    <row r="150">
      <c r="A150" t="str">
        <v>29/4/2026</v>
      </c>
      <c r="B150" t="str">
        <v>VG36</v>
      </c>
      <c r="D150" t="str">
        <v>1.Tàu Ứng</v>
      </c>
      <c r="E150" t="str">
        <v>Ứng tiền</v>
      </c>
      <c r="G150">
        <v>20000000</v>
      </c>
      <c r="H150" t="str">
        <v>AB</v>
      </c>
    </row>
    <row r="151">
      <c r="A151" t="str">
        <v>30/4/2026</v>
      </c>
      <c r="B151" t="str">
        <v>VP</v>
      </c>
      <c r="D151" t="str">
        <v>Văn phòng</v>
      </c>
      <c r="E151" t="str">
        <v>Trả lãi TK</v>
      </c>
      <c r="F151">
        <v>99261</v>
      </c>
      <c r="H151" t="str">
        <v>VT</v>
      </c>
    </row>
    <row r="152">
      <c r="A152" t="str">
        <v>30/4/2026</v>
      </c>
      <c r="B152" t="str">
        <v>VP</v>
      </c>
      <c r="D152" t="str">
        <v>Luân chuyển</v>
      </c>
      <c r="E152" t="str">
        <v>Luân chuyển tiền mặt</v>
      </c>
      <c r="F152">
        <v>68375000</v>
      </c>
      <c r="H152" t="str">
        <v>CN</v>
      </c>
    </row>
    <row r="153">
      <c r="A153" t="str">
        <v>30/4/2026</v>
      </c>
      <c r="B153" t="str">
        <v>VP</v>
      </c>
      <c r="D153" t="str">
        <v>Luân chuyển</v>
      </c>
      <c r="E153" t="str">
        <v>Luân chuyển tiền mặt</v>
      </c>
      <c r="G153">
        <v>68375000</v>
      </c>
      <c r="H153" t="str">
        <v>VT</v>
      </c>
    </row>
    <row r="154">
      <c r="A154" t="str">
        <v>30/4/2026</v>
      </c>
      <c r="B154" t="str">
        <v>VP</v>
      </c>
      <c r="D154" t="str">
        <v>Văn phòng</v>
      </c>
      <c r="E154" t="str">
        <v>Nhận tiền bảo hiểm</v>
      </c>
      <c r="F154">
        <v>4800000</v>
      </c>
      <c r="H154" t="str">
        <v>CN</v>
      </c>
    </row>
    <row r="155">
      <c r="A155" t="str">
        <v>30/4/2026</v>
      </c>
      <c r="B155" t="str">
        <v>VP</v>
      </c>
      <c r="D155" t="str">
        <v>Văn phòng</v>
      </c>
      <c r="E155" t="str">
        <v>Lương Tùng</v>
      </c>
      <c r="G155">
        <v>40000000</v>
      </c>
      <c r="H155" t="str">
        <v>VT</v>
      </c>
    </row>
    <row r="156">
      <c r="A156" t="str">
        <v>30/4/2026</v>
      </c>
      <c r="B156" t="str">
        <v>VP</v>
      </c>
      <c r="D156" t="str">
        <v>Văn phòng</v>
      </c>
      <c r="E156" t="str">
        <v>Lương C Phương</v>
      </c>
      <c r="G156">
        <v>20000000</v>
      </c>
      <c r="H156" t="str">
        <v>VT</v>
      </c>
    </row>
    <row r="157">
      <c r="A157" t="str">
        <v>30/4/2026</v>
      </c>
      <c r="B157" t="str">
        <v>VP</v>
      </c>
      <c r="D157" t="str">
        <v>Văn phòng</v>
      </c>
      <c r="E157" t="str">
        <v>Lương Vĩnh</v>
      </c>
      <c r="G157">
        <v>67650000</v>
      </c>
      <c r="H157" t="str">
        <v>VT</v>
      </c>
    </row>
    <row r="158">
      <c r="A158" t="str">
        <v>30/4/2026</v>
      </c>
      <c r="B158" t="str">
        <v>VP</v>
      </c>
      <c r="D158" t="str">
        <v>Văn phòng</v>
      </c>
      <c r="E158" t="str">
        <v>Vé máy bay</v>
      </c>
      <c r="G158">
        <v>28190000</v>
      </c>
      <c r="H158" t="str">
        <v>VT</v>
      </c>
    </row>
    <row r="159">
      <c r="A159" t="str">
        <v>30/4/2026</v>
      </c>
      <c r="B159" t="str">
        <v>VG05</v>
      </c>
      <c r="D159" t="str">
        <v>3.Lương</v>
      </c>
      <c r="E159" t="str">
        <v>Lương Tháng</v>
      </c>
      <c r="G159">
        <v>195829500</v>
      </c>
      <c r="H159" t="str">
        <v>VT</v>
      </c>
    </row>
    <row r="160">
      <c r="A160" t="str">
        <v>30/4/2026</v>
      </c>
      <c r="B160" t="str">
        <v>VG09</v>
      </c>
      <c r="D160" t="str">
        <v>3.Lương</v>
      </c>
      <c r="E160" t="str">
        <v>Lương Tháng</v>
      </c>
      <c r="G160">
        <v>199694833.33333334</v>
      </c>
      <c r="H160" t="str">
        <v>VT</v>
      </c>
    </row>
    <row r="161">
      <c r="A161" t="str">
        <v>30/4/2026</v>
      </c>
      <c r="B161" t="str">
        <v>VG15</v>
      </c>
      <c r="D161" t="str">
        <v>3.Lương</v>
      </c>
      <c r="E161" t="str">
        <v>Lương Tháng</v>
      </c>
      <c r="G161">
        <v>203028000</v>
      </c>
      <c r="H161" t="str">
        <v>VT</v>
      </c>
    </row>
    <row r="162">
      <c r="A162" t="str">
        <v>30/4/2026</v>
      </c>
      <c r="B162" t="str">
        <v>VG18</v>
      </c>
      <c r="D162" t="str">
        <v>3.Lương</v>
      </c>
      <c r="E162" t="str">
        <v>Lương Tháng</v>
      </c>
      <c r="G162">
        <v>220093500</v>
      </c>
      <c r="H162" t="str">
        <v>VT</v>
      </c>
    </row>
    <row r="163">
      <c r="A163" t="str">
        <v>30/4/2026</v>
      </c>
      <c r="B163" t="str">
        <v>VG36</v>
      </c>
      <c r="D163" t="str">
        <v>3.Lương</v>
      </c>
      <c r="E163" t="str">
        <v>Lương Tháng</v>
      </c>
      <c r="G163">
        <v>202606166.66666666</v>
      </c>
      <c r="H163" t="str">
        <v>VT</v>
      </c>
    </row>
    <row r="164">
      <c r="A164" t="str">
        <v>30/4/2026</v>
      </c>
      <c r="B164" t="str">
        <v>VG05</v>
      </c>
      <c r="D164" t="str">
        <v>1.Tàu Ứng</v>
      </c>
      <c r="E164" t="str">
        <v>Ứng tiền</v>
      </c>
      <c r="G164">
        <v>43670125</v>
      </c>
      <c r="H164" t="str">
        <v>VT</v>
      </c>
    </row>
    <row r="165">
      <c r="A165" t="str">
        <v>30/4/2026</v>
      </c>
      <c r="B165" t="str">
        <v>VG09</v>
      </c>
      <c r="D165" t="str">
        <v>1.Tàu Ứng</v>
      </c>
      <c r="E165" t="str">
        <v>Ứng tiền</v>
      </c>
      <c r="G165">
        <v>52891791.666666664</v>
      </c>
      <c r="H165" t="str">
        <v>VT</v>
      </c>
    </row>
    <row r="166">
      <c r="A166" t="str">
        <v>30/4/2026</v>
      </c>
      <c r="B166" t="str">
        <v>VG15</v>
      </c>
      <c r="D166" t="str">
        <v>1.Tàu Ứng</v>
      </c>
      <c r="E166" t="str">
        <v>Ứng tiền</v>
      </c>
      <c r="G166">
        <v>3100000</v>
      </c>
      <c r="H166" t="str">
        <v>VT</v>
      </c>
    </row>
    <row r="167">
      <c r="A167" t="str">
        <v>30/4/2026</v>
      </c>
      <c r="B167" t="str">
        <v>VG18</v>
      </c>
      <c r="D167" t="str">
        <v>1.Tàu Ứng</v>
      </c>
      <c r="E167" t="str">
        <v>Ứng tiền</v>
      </c>
      <c r="G167">
        <v>9000000</v>
      </c>
      <c r="H167" t="str">
        <v>VT</v>
      </c>
    </row>
    <row r="168">
      <c r="A168" t="str">
        <v>30/4/2026</v>
      </c>
      <c r="B168" t="str">
        <v>VG36</v>
      </c>
      <c r="D168" t="str">
        <v>1.Tàu Ứng</v>
      </c>
      <c r="E168" t="str">
        <v>Ứng tiền</v>
      </c>
      <c r="G168">
        <v>38215358.333333336</v>
      </c>
      <c r="H168" t="str">
        <v>VT</v>
      </c>
    </row>
    <row r="169">
      <c r="A169">
        <v>46027</v>
      </c>
      <c r="B169" t="str">
        <v>VG18</v>
      </c>
      <c r="D169" t="str">
        <v>1.Tàu Ứng</v>
      </c>
      <c r="E169" t="str">
        <v>Ứng tiền</v>
      </c>
      <c r="G169">
        <v>30000000</v>
      </c>
      <c r="H169" t="str">
        <v>CN</v>
      </c>
    </row>
    <row r="170">
      <c r="A170">
        <v>46086</v>
      </c>
      <c r="B170" t="str">
        <v>VG15</v>
      </c>
      <c r="C170" t="str">
        <v>C10</v>
      </c>
      <c r="D170" t="str">
        <v>2.Chi Phí Cảng</v>
      </c>
      <c r="E170" t="str">
        <v>Tàu lai tại Đà Nẵng</v>
      </c>
      <c r="G170">
        <f>9000000+979200</f>
        <v>9979200</v>
      </c>
      <c r="H170" t="str">
        <v>AB</v>
      </c>
    </row>
    <row r="171">
      <c r="A171">
        <v>46086</v>
      </c>
      <c r="B171" t="str">
        <v>VG15</v>
      </c>
      <c r="C171" t="str">
        <v>C10</v>
      </c>
      <c r="D171" t="str">
        <v>2.Chi Phí Cảng</v>
      </c>
      <c r="E171" t="str">
        <v>Phí cầu bến tại Đà Nẵng</v>
      </c>
      <c r="G171">
        <v>7885934</v>
      </c>
      <c r="H171" t="str">
        <v>AB</v>
      </c>
    </row>
    <row r="172">
      <c r="A172">
        <v>46086</v>
      </c>
      <c r="B172" t="str">
        <v>VP</v>
      </c>
      <c r="D172" t="str">
        <v>Luân chuyển</v>
      </c>
      <c r="E172" t="str">
        <v>Luân chuyển tiền mặt</v>
      </c>
      <c r="G172">
        <v>200000000</v>
      </c>
      <c r="H172" t="str">
        <v>AB</v>
      </c>
    </row>
    <row r="173">
      <c r="A173">
        <v>46086</v>
      </c>
      <c r="B173" t="str">
        <v>VP</v>
      </c>
      <c r="D173" t="str">
        <v>Luân chuyển</v>
      </c>
      <c r="E173" t="str">
        <v>Luân chuyển tiền mặt</v>
      </c>
      <c r="F173">
        <v>200000000</v>
      </c>
      <c r="H173" t="str">
        <v>VT</v>
      </c>
    </row>
    <row r="174">
      <c r="A174">
        <v>46117</v>
      </c>
      <c r="B174" t="str">
        <v>VG18</v>
      </c>
      <c r="D174" t="str">
        <v>4.Dầu DO</v>
      </c>
      <c r="E174" t="str">
        <v>Trả đủ đơn dầu tại Sơn Dương</v>
      </c>
      <c r="G174">
        <v>577576960</v>
      </c>
      <c r="H174" t="str">
        <v>AB</v>
      </c>
      <c r="I174" t="str">
        <v>Hoàng Khải</v>
      </c>
    </row>
    <row r="175">
      <c r="A175">
        <v>46117</v>
      </c>
      <c r="B175" t="str">
        <v>VG18</v>
      </c>
      <c r="D175" t="str">
        <v>6.Lãi Vay</v>
      </c>
      <c r="E175" t="str">
        <v>Trả lãi vay Yến Hậu</v>
      </c>
      <c r="G175">
        <v>195070000</v>
      </c>
      <c r="H175" t="str">
        <v>AB</v>
      </c>
    </row>
    <row r="176">
      <c r="A176">
        <v>46117</v>
      </c>
      <c r="B176" t="str">
        <v>VP</v>
      </c>
      <c r="D176" t="str">
        <v>Luân chuyển</v>
      </c>
      <c r="E176" t="str">
        <v>Chuyển tk Tùng</v>
      </c>
      <c r="F176">
        <v>4930000</v>
      </c>
      <c r="H176" t="str">
        <v>CN</v>
      </c>
    </row>
    <row r="177">
      <c r="A177">
        <v>46117</v>
      </c>
      <c r="B177" t="str">
        <v>VP</v>
      </c>
      <c r="D177" t="str">
        <v>Luân chuyển</v>
      </c>
      <c r="E177" t="str">
        <v>Chuyển tk Tùng</v>
      </c>
      <c r="G177">
        <v>4930000</v>
      </c>
      <c r="H177" t="str">
        <v>AB</v>
      </c>
    </row>
    <row r="178">
      <c r="A178">
        <v>46147</v>
      </c>
      <c r="B178" t="str">
        <v>VG15</v>
      </c>
      <c r="D178" t="str">
        <v>1.Tàu Ứng</v>
      </c>
      <c r="E178" t="str">
        <v>Ứng tiền</v>
      </c>
      <c r="G178">
        <v>20000000</v>
      </c>
      <c r="H178" t="str">
        <v>AB</v>
      </c>
    </row>
    <row r="179">
      <c r="A179">
        <v>46147</v>
      </c>
      <c r="B179" t="str">
        <v>VG18</v>
      </c>
      <c r="D179" t="str">
        <v>9.Vật Tư</v>
      </c>
      <c r="E179" t="str">
        <v>Sơn HP</v>
      </c>
      <c r="G179">
        <v>21191220</v>
      </c>
      <c r="H179" t="str">
        <v>AB</v>
      </c>
      <c r="I179" t="str">
        <v>Sơn HP</v>
      </c>
    </row>
    <row r="180">
      <c r="A180">
        <v>46147</v>
      </c>
      <c r="B180" t="str">
        <v>VG15</v>
      </c>
      <c r="C180">
        <v>34</v>
      </c>
      <c r="D180" t="str">
        <v>CVC</v>
      </c>
      <c r="E180" t="str">
        <v>Thu CVC HD34 VG15 Chân Mây - Hâụ Giang</v>
      </c>
      <c r="F180">
        <v>1116447400</v>
      </c>
      <c r="H180" t="str">
        <v>AB</v>
      </c>
      <c r="I180" t="str">
        <v>Ngọc Anh</v>
      </c>
    </row>
    <row r="181">
      <c r="A181">
        <v>46147</v>
      </c>
      <c r="B181" t="str">
        <v>VG18</v>
      </c>
      <c r="C181">
        <v>35</v>
      </c>
      <c r="D181" t="str">
        <v>CVC</v>
      </c>
      <c r="E181" t="str">
        <v>Thu CVC HD35 VG18 Tôn Cuộn Gò Dầu - Hải Phòng</v>
      </c>
      <c r="F181">
        <v>1180433520</v>
      </c>
      <c r="H181" t="str">
        <v>AB</v>
      </c>
      <c r="I181" t="str">
        <v>Ngọc Anh</v>
      </c>
    </row>
    <row r="182">
      <c r="A182">
        <v>46147</v>
      </c>
      <c r="B182" t="str">
        <v>VG05</v>
      </c>
      <c r="C182" t="str">
        <v>C10</v>
      </c>
      <c r="D182" t="str">
        <v>2.Chi Phí Cảng</v>
      </c>
      <c r="E182" t="str">
        <v>Đại lý Sông Hậu tại  Hậu Giang C10</v>
      </c>
      <c r="G182">
        <v>8331000</v>
      </c>
      <c r="H182" t="str">
        <v>AB</v>
      </c>
      <c r="I182" t="str">
        <v>Sông Hậu</v>
      </c>
    </row>
    <row r="183">
      <c r="A183">
        <v>46147</v>
      </c>
      <c r="B183" t="str">
        <v>VG05</v>
      </c>
      <c r="C183" t="str">
        <v>C11</v>
      </c>
      <c r="D183" t="str">
        <v>2.Chi Phí Cảng</v>
      </c>
      <c r="E183" t="str">
        <v>Đại lý Sông Hậu tại VĨnh Xương C11</v>
      </c>
      <c r="G183">
        <v>7000000</v>
      </c>
      <c r="H183" t="str">
        <v>AB</v>
      </c>
      <c r="I183" t="str">
        <v>Sông Hậu</v>
      </c>
    </row>
    <row r="184">
      <c r="A184">
        <v>46147</v>
      </c>
      <c r="B184" t="str">
        <v>VG09</v>
      </c>
      <c r="C184" t="str">
        <v>C8</v>
      </c>
      <c r="D184" t="str">
        <v>2.Chi Phí Cảng</v>
      </c>
      <c r="E184" t="str">
        <v>Đại lý Sơng Hậu tại Hậu Giang C8</v>
      </c>
      <c r="G184">
        <v>15969000</v>
      </c>
      <c r="H184" t="str">
        <v>AB</v>
      </c>
      <c r="I184" t="str">
        <v>Sông Hậu</v>
      </c>
    </row>
    <row r="185">
      <c r="A185">
        <v>46147</v>
      </c>
      <c r="B185" t="str">
        <v>VG09</v>
      </c>
      <c r="C185" t="str">
        <v>C9</v>
      </c>
      <c r="D185" t="str">
        <v>2.Chi Phí Cảng</v>
      </c>
      <c r="E185" t="str">
        <v>Đại lý Sông Hậu tại VĨnh Xương C9</v>
      </c>
      <c r="G185">
        <v>50353000</v>
      </c>
      <c r="H185" t="str">
        <v>AB</v>
      </c>
      <c r="I185" t="str">
        <v>Sông Hậu</v>
      </c>
    </row>
    <row r="186">
      <c r="A186">
        <v>46147</v>
      </c>
      <c r="B186" t="str">
        <v>VG15</v>
      </c>
      <c r="C186" t="str">
        <v>C10</v>
      </c>
      <c r="D186" t="str">
        <v>2.Chi Phí Cảng</v>
      </c>
      <c r="E186" t="str">
        <v>Đại lý Sơng Hậu tại Hậu Giang C9</v>
      </c>
      <c r="G186">
        <v>36711000</v>
      </c>
      <c r="H186" t="str">
        <v>AB</v>
      </c>
      <c r="I186" t="str">
        <v>Sông Hậu</v>
      </c>
    </row>
    <row r="187">
      <c r="A187">
        <v>46147</v>
      </c>
      <c r="B187" t="str">
        <v>VG15</v>
      </c>
      <c r="C187" t="str">
        <v>C10</v>
      </c>
      <c r="D187" t="str">
        <v>2.Chi Phí Cảng</v>
      </c>
      <c r="E187" t="str">
        <v>Đại lý Sông Hậu tại VĨnh Xương C10</v>
      </c>
      <c r="G187">
        <v>49919000</v>
      </c>
      <c r="H187" t="str">
        <v>AB</v>
      </c>
      <c r="I187" t="str">
        <v>Sông Hậu</v>
      </c>
    </row>
    <row r="188">
      <c r="A188">
        <v>46147</v>
      </c>
      <c r="B188" t="str">
        <v>VG18</v>
      </c>
      <c r="C188" t="str">
        <v>C8</v>
      </c>
      <c r="D188" t="str">
        <v>2.Chi Phí Cảng</v>
      </c>
      <c r="E188" t="str">
        <v>Đại lý Sơng Hậu tại Hậu Giang C8</v>
      </c>
      <c r="G188">
        <v>44449864</v>
      </c>
      <c r="H188" t="str">
        <v>AB</v>
      </c>
      <c r="I188" t="str">
        <v>Sông Hậu</v>
      </c>
    </row>
    <row r="189">
      <c r="A189">
        <v>46147</v>
      </c>
      <c r="B189" t="str">
        <v>VG09</v>
      </c>
      <c r="D189" t="str">
        <v>9.Vật Tư</v>
      </c>
      <c r="E189" t="str">
        <v>Lắp đặt Camera</v>
      </c>
      <c r="G189">
        <v>17550000</v>
      </c>
      <c r="H189" t="str">
        <v>AB</v>
      </c>
    </row>
    <row r="190">
      <c r="A190">
        <v>46147</v>
      </c>
      <c r="B190" t="str">
        <v>VG18</v>
      </c>
      <c r="D190" t="str">
        <v>9.Vật Tư</v>
      </c>
      <c r="E190" t="str">
        <v>Sửa chữa điện</v>
      </c>
      <c r="G190">
        <v>50021280</v>
      </c>
      <c r="H190" t="str">
        <v>AB</v>
      </c>
    </row>
    <row r="191">
      <c r="A191">
        <v>46147</v>
      </c>
      <c r="B191" t="str">
        <v>VG18</v>
      </c>
      <c r="D191" t="str">
        <v>5.Dầu LO</v>
      </c>
      <c r="E191" t="str">
        <v>Cấp LO VG18 ngày 1/4</v>
      </c>
      <c r="G191">
        <v>100224000</v>
      </c>
      <c r="H191" t="str">
        <v>AB</v>
      </c>
      <c r="I191" t="str">
        <v>Nhất Minh Sơn</v>
      </c>
    </row>
    <row r="192">
      <c r="A192">
        <v>46147</v>
      </c>
      <c r="B192" t="str">
        <v>VG05</v>
      </c>
      <c r="D192" t="str">
        <v>5.Dầu LO</v>
      </c>
      <c r="E192" t="str">
        <v>Cấp LO VG05 ngày 26/1</v>
      </c>
      <c r="G192">
        <v>59000000</v>
      </c>
      <c r="H192" t="str">
        <v>AB</v>
      </c>
      <c r="I192" t="str">
        <v>Nhất Minh Sơn</v>
      </c>
    </row>
    <row r="193">
      <c r="A193">
        <v>46147</v>
      </c>
      <c r="B193" t="str">
        <v>VG15</v>
      </c>
      <c r="D193" t="str">
        <v>5.Dầu LO</v>
      </c>
      <c r="E193" t="str">
        <v>Cấp LO VG15 ngày 23/2</v>
      </c>
      <c r="G193">
        <v>35700000</v>
      </c>
      <c r="H193" t="str">
        <v>AB</v>
      </c>
      <c r="I193" t="str">
        <v>Nhất Minh Sơn</v>
      </c>
    </row>
    <row r="194">
      <c r="A194">
        <v>46147</v>
      </c>
      <c r="B194" t="str">
        <v>VG09</v>
      </c>
      <c r="D194" t="str">
        <v>5.Dầu LO</v>
      </c>
      <c r="E194" t="str">
        <v>Cấp LO VG09 ngày 14/3</v>
      </c>
      <c r="G194">
        <v>59500000</v>
      </c>
      <c r="H194" t="str">
        <v>AB</v>
      </c>
      <c r="I194" t="str">
        <v>Nhất Minh Sơn</v>
      </c>
    </row>
    <row r="195">
      <c r="A195">
        <v>46147</v>
      </c>
      <c r="B195" t="str">
        <v>VG15</v>
      </c>
      <c r="D195" t="str">
        <v>5.Dầu LO</v>
      </c>
      <c r="E195" t="str">
        <v>Cấp LO VG15 ngày 18/3</v>
      </c>
      <c r="G195">
        <v>59500000</v>
      </c>
      <c r="H195" t="str">
        <v>AB</v>
      </c>
      <c r="I195" t="str">
        <v>Nhất Minh Sơn</v>
      </c>
    </row>
    <row r="196">
      <c r="A196">
        <v>46147</v>
      </c>
      <c r="B196" t="str">
        <v>VG15</v>
      </c>
      <c r="D196" t="str">
        <v>4.Dầu DO</v>
      </c>
      <c r="E196" t="str">
        <v>Cấp dầu VG15 tại Sơn Dương</v>
      </c>
      <c r="G196">
        <v>610369850</v>
      </c>
      <c r="H196" t="str">
        <v>AB</v>
      </c>
      <c r="I196" t="str">
        <v>Long Bình</v>
      </c>
    </row>
    <row r="197">
      <c r="A197">
        <v>46147</v>
      </c>
      <c r="B197" t="str">
        <v>VG15</v>
      </c>
      <c r="C197">
        <v>27</v>
      </c>
      <c r="D197" t="str">
        <v>CVC</v>
      </c>
      <c r="E197" t="str">
        <v>Thu CVC HD27 VG15 Cát Vĩnh Xương - Đà Nẵng</v>
      </c>
      <c r="F197">
        <v>656028800</v>
      </c>
      <c r="H197" t="str">
        <v>VT</v>
      </c>
      <c r="I197" t="str">
        <v>Hoàng Quyên</v>
      </c>
    </row>
    <row r="198">
      <c r="A198">
        <v>46178</v>
      </c>
      <c r="B198" t="str">
        <v>VP</v>
      </c>
      <c r="D198" t="str">
        <v>Văn phòng</v>
      </c>
      <c r="E198" t="str">
        <v>Công đức chùa</v>
      </c>
      <c r="G198">
        <v>200000000</v>
      </c>
      <c r="H198" t="str">
        <v>VT</v>
      </c>
    </row>
    <row r="199">
      <c r="A199">
        <v>46178</v>
      </c>
      <c r="B199" t="str">
        <v>VP</v>
      </c>
      <c r="D199" t="str">
        <v>Văn phòng</v>
      </c>
      <c r="E199" t="str">
        <v>Thu phí duy trì</v>
      </c>
      <c r="G199">
        <v>100000</v>
      </c>
      <c r="H199" t="str">
        <v>VT</v>
      </c>
    </row>
    <row r="200">
      <c r="A200">
        <v>46178</v>
      </c>
      <c r="B200" t="str">
        <v>VG36</v>
      </c>
      <c r="D200" t="str">
        <v>1.Tàu Ứng</v>
      </c>
      <c r="E200" t="str">
        <v>Ứng tiền</v>
      </c>
      <c r="G200">
        <v>30000000</v>
      </c>
      <c r="H200" t="str">
        <v>AB</v>
      </c>
    </row>
    <row r="201">
      <c r="A201">
        <v>46239</v>
      </c>
      <c r="B201" t="str">
        <v>VG36</v>
      </c>
      <c r="D201" t="str">
        <v>4.Dầu DO</v>
      </c>
      <c r="E201" t="str">
        <v>Cấp DầuVG36 tại Đà Nẵng</v>
      </c>
      <c r="G201">
        <v>537429500</v>
      </c>
      <c r="H201" t="str">
        <v>AB</v>
      </c>
    </row>
    <row r="202">
      <c r="A202">
        <v>46239</v>
      </c>
      <c r="B202" t="str">
        <v>VG09</v>
      </c>
      <c r="D202" t="str">
        <v>9.Vật Tư</v>
      </c>
      <c r="E202" t="str">
        <v>Đồ máy 24</v>
      </c>
      <c r="G202">
        <v>460000</v>
      </c>
      <c r="H202" t="str">
        <v>CN</v>
      </c>
    </row>
    <row r="203">
      <c r="A203">
        <v>46239</v>
      </c>
      <c r="B203" t="str">
        <v>VP</v>
      </c>
      <c r="D203" t="str">
        <v>Văn phòng</v>
      </c>
      <c r="E203" t="str">
        <v>Cước Điện thoại</v>
      </c>
      <c r="G203">
        <v>796915</v>
      </c>
      <c r="H203" t="str">
        <v>CN</v>
      </c>
    </row>
    <row r="204">
      <c r="A204">
        <v>46239</v>
      </c>
      <c r="B204" t="str">
        <v>VG09</v>
      </c>
      <c r="D204" t="str">
        <v>2.Chi Phí Cảng</v>
      </c>
      <c r="E204" t="str">
        <v>Đại lý ngoài</v>
      </c>
      <c r="G204">
        <v>11000000</v>
      </c>
      <c r="H204" t="str">
        <v>CN</v>
      </c>
      <c r="I204" t="str">
        <v>Hoàng Đăng</v>
      </c>
    </row>
    <row r="205">
      <c r="A205">
        <v>46239</v>
      </c>
      <c r="B205" t="str">
        <v>VG05</v>
      </c>
      <c r="C205" t="str">
        <v>C13</v>
      </c>
      <c r="D205" t="str">
        <v>2.Chi Phí Cảng</v>
      </c>
      <c r="E205" t="str">
        <v>Đại lý ngoài</v>
      </c>
      <c r="G205">
        <v>4000000</v>
      </c>
      <c r="H205" t="str">
        <v>CN</v>
      </c>
      <c r="I205" t="str">
        <v>Hoàng Đăng</v>
      </c>
    </row>
    <row r="206">
      <c r="A206">
        <v>46239</v>
      </c>
      <c r="B206" t="str">
        <v>VG05</v>
      </c>
      <c r="C206" t="str">
        <v>C10</v>
      </c>
      <c r="D206" t="str">
        <v>2.Chi Phí Cảng</v>
      </c>
      <c r="E206" t="str">
        <v>Đại lý tại Quảng Ninh</v>
      </c>
      <c r="G206">
        <v>4320000</v>
      </c>
      <c r="H206" t="str">
        <v>AB</v>
      </c>
      <c r="I206" t="str">
        <v>Hoàng Đăng</v>
      </c>
    </row>
    <row r="207">
      <c r="A207">
        <v>46239</v>
      </c>
      <c r="B207" t="str">
        <v>VG09</v>
      </c>
      <c r="C207" t="str">
        <v>C9</v>
      </c>
      <c r="D207" t="str">
        <v>2.Chi Phí Cảng</v>
      </c>
      <c r="E207" t="str">
        <v>Hoa tiêu C9 Cát tại Huy Văn</v>
      </c>
      <c r="G207">
        <v>4320000</v>
      </c>
      <c r="H207" t="str">
        <v>AB</v>
      </c>
    </row>
    <row r="208">
      <c r="A208">
        <v>46239</v>
      </c>
      <c r="B208" t="str">
        <v>VG09</v>
      </c>
      <c r="D208" t="str">
        <v>9.Vật Tư</v>
      </c>
      <c r="E208" t="str">
        <v>Vật tư + Sửa chữa máy T3</v>
      </c>
      <c r="G208">
        <v>13790304</v>
      </c>
      <c r="H208" t="str">
        <v>AB</v>
      </c>
    </row>
    <row r="209">
      <c r="A209">
        <v>46239</v>
      </c>
      <c r="B209" t="str">
        <v>VG05</v>
      </c>
      <c r="D209" t="str">
        <v>9.Vật Tư</v>
      </c>
      <c r="E209" t="str">
        <v>Lắp đặt Camera</v>
      </c>
      <c r="G209">
        <v>17550000</v>
      </c>
      <c r="H209" t="str">
        <v>AB</v>
      </c>
    </row>
    <row r="210">
      <c r="A210">
        <v>46270</v>
      </c>
      <c r="B210" t="str">
        <v>VG36</v>
      </c>
      <c r="C210" t="str">
        <v>C11</v>
      </c>
      <c r="D210" t="str">
        <v>2.Chi Phí Cảng</v>
      </c>
      <c r="E210" t="str">
        <v>Cầu bến VG36 tại Đà Nẵng C11 Cát</v>
      </c>
      <c r="G210">
        <v>5744957</v>
      </c>
      <c r="H210" t="str">
        <v>VT</v>
      </c>
    </row>
    <row r="211">
      <c r="A211">
        <v>46270</v>
      </c>
      <c r="B211" t="str">
        <v>VG36</v>
      </c>
      <c r="C211" t="str">
        <v>C11</v>
      </c>
      <c r="D211" t="str">
        <v>2.Chi Phí Cảng</v>
      </c>
      <c r="E211" t="str">
        <v>Tàu Lai VG36 tại Đà Nẵng C11 Cát</v>
      </c>
      <c r="G211">
        <v>9936000</v>
      </c>
      <c r="H211" t="str">
        <v>AB</v>
      </c>
    </row>
    <row r="212">
      <c r="A212">
        <v>46270</v>
      </c>
      <c r="B212" t="str">
        <v>VG05</v>
      </c>
      <c r="D212" t="str">
        <v>1.Tàu Ứng</v>
      </c>
      <c r="E212" t="str">
        <v>Ứng tiền</v>
      </c>
      <c r="G212">
        <v>30000000</v>
      </c>
      <c r="H212" t="str">
        <v>AB</v>
      </c>
    </row>
    <row r="213">
      <c r="A213">
        <v>46270</v>
      </c>
      <c r="B213" t="str">
        <v>VG18</v>
      </c>
      <c r="D213" t="str">
        <v>1.Tàu Ứng</v>
      </c>
      <c r="E213" t="str">
        <v>Ứng tiền</v>
      </c>
      <c r="G213">
        <v>20000000</v>
      </c>
      <c r="H213" t="str">
        <v>AB</v>
      </c>
    </row>
    <row r="214">
      <c r="A214">
        <v>46300</v>
      </c>
      <c r="B214" t="str">
        <v>VG18</v>
      </c>
      <c r="D214" t="str">
        <v>4.Dầu DO</v>
      </c>
      <c r="E214" t="str">
        <v>Cấp ứng dầu VG18 tại Sơn Dương</v>
      </c>
      <c r="G214">
        <v>400000000</v>
      </c>
      <c r="H214" t="str">
        <v>AB</v>
      </c>
      <c r="I214" t="str">
        <v>Hoàng Khải</v>
      </c>
    </row>
    <row r="215">
      <c r="A215">
        <v>46300</v>
      </c>
      <c r="B215" t="str">
        <v>VP</v>
      </c>
      <c r="D215" t="str">
        <v>Văn phòng</v>
      </c>
      <c r="E215" t="str">
        <v>Phí duy trì tài khoản</v>
      </c>
      <c r="G215">
        <v>165000</v>
      </c>
      <c r="H215" t="str">
        <v>AB</v>
      </c>
    </row>
    <row r="216">
      <c r="A216">
        <v>46300</v>
      </c>
      <c r="B216" t="str">
        <v>VP</v>
      </c>
      <c r="D216" t="str">
        <v>Văn phòng</v>
      </c>
      <c r="E216" t="str">
        <v>Phí rút tiền</v>
      </c>
      <c r="G216">
        <v>102000</v>
      </c>
      <c r="H216" t="str">
        <v>VT</v>
      </c>
    </row>
    <row r="217">
      <c r="A217">
        <v>46208</v>
      </c>
      <c r="B217" t="str">
        <v>VP</v>
      </c>
      <c r="D217" t="str">
        <v>Văn phòng</v>
      </c>
      <c r="E217" t="str">
        <v>Gia hạn Vshipel</v>
      </c>
      <c r="G217">
        <v>1944000</v>
      </c>
      <c r="H217" t="str">
        <v>CN</v>
      </c>
    </row>
    <row r="218">
      <c r="A218">
        <v>46300</v>
      </c>
      <c r="B218" t="str">
        <v>VG15</v>
      </c>
      <c r="D218" t="str">
        <v>3.Lương</v>
      </c>
      <c r="E218" t="str">
        <v>Ứng lương Lưu Quang Trường</v>
      </c>
      <c r="G218">
        <v>10000000</v>
      </c>
      <c r="H218" t="str">
        <v>CN</v>
      </c>
    </row>
    <row r="219">
      <c r="A219">
        <v>46331</v>
      </c>
      <c r="B219" t="str">
        <v>VG15</v>
      </c>
      <c r="D219" t="str">
        <v>1.Tàu Ứng</v>
      </c>
      <c r="E219" t="str">
        <v>Ứng tiền</v>
      </c>
      <c r="G219">
        <v>20000000</v>
      </c>
      <c r="H219" t="str">
        <v>AB</v>
      </c>
    </row>
    <row r="220">
      <c r="A220">
        <v>46331</v>
      </c>
      <c r="B220" t="str">
        <v>VG05</v>
      </c>
      <c r="C220" t="str">
        <v>C13</v>
      </c>
      <c r="D220" t="str">
        <v>2.Chi Phí Cảng</v>
      </c>
      <c r="E220" t="str">
        <v>Phí đại lý ở Quảng Ninh Hải Phòng</v>
      </c>
      <c r="G220">
        <v>5400000</v>
      </c>
      <c r="H220" t="str">
        <v>AB</v>
      </c>
      <c r="I220" t="str">
        <v>Hoàng Đăng</v>
      </c>
    </row>
    <row r="221">
      <c r="A221">
        <v>46331</v>
      </c>
      <c r="B221" t="str">
        <v>VG09</v>
      </c>
      <c r="D221" t="str">
        <v>9.Vật Tư</v>
      </c>
      <c r="E221" t="str">
        <v>Cấp VHF</v>
      </c>
      <c r="G221">
        <v>8640000</v>
      </c>
      <c r="H221" t="str">
        <v>AB</v>
      </c>
    </row>
    <row r="222">
      <c r="A222">
        <v>46361</v>
      </c>
      <c r="B222" t="str">
        <v>VG05</v>
      </c>
      <c r="D222" t="str">
        <v>6.Lãi Vay</v>
      </c>
      <c r="E222" t="str">
        <v>Lãi vay ngắn hạn AB</v>
      </c>
      <c r="G222">
        <v>17067444.266987763</v>
      </c>
      <c r="H222" t="str">
        <v>AB</v>
      </c>
    </row>
    <row r="223">
      <c r="A223">
        <v>46361</v>
      </c>
      <c r="B223" t="str">
        <v>VG09</v>
      </c>
      <c r="D223" t="str">
        <v>6.Lãi Vay</v>
      </c>
      <c r="E223" t="str">
        <v>Lãi vay ngắn hạn AB</v>
      </c>
      <c r="G223">
        <v>3492355.6398366913</v>
      </c>
      <c r="H223" t="str">
        <v>AB</v>
      </c>
    </row>
    <row r="224">
      <c r="A224">
        <v>46361</v>
      </c>
      <c r="B224" t="str">
        <v>VG15</v>
      </c>
      <c r="D224" t="str">
        <v>6.Lãi Vay</v>
      </c>
      <c r="E224" t="str">
        <v>Lãi vay ngắn hạn AB</v>
      </c>
      <c r="G224">
        <v>9038294.476973524</v>
      </c>
      <c r="H224" t="str">
        <v>AB</v>
      </c>
    </row>
    <row r="225">
      <c r="A225">
        <v>46361</v>
      </c>
      <c r="B225" t="str">
        <v>VG18</v>
      </c>
      <c r="D225" t="str">
        <v>6.Lãi Vay</v>
      </c>
      <c r="E225" t="str">
        <v>Lãi vay ngắn hạn AB</v>
      </c>
      <c r="G225">
        <v>24194342.65285629</v>
      </c>
      <c r="H225" t="str">
        <v>AB</v>
      </c>
    </row>
    <row r="226">
      <c r="A226">
        <v>46361</v>
      </c>
      <c r="B226" t="str">
        <v>VG36</v>
      </c>
      <c r="D226" t="str">
        <v>6.Lãi Vay</v>
      </c>
      <c r="E226" t="str">
        <v>Lãi vay ngắn hạn AB</v>
      </c>
      <c r="G226">
        <v>7896444.963345725</v>
      </c>
      <c r="H226" t="str">
        <v>AB</v>
      </c>
    </row>
    <row r="227">
      <c r="A227">
        <v>46361</v>
      </c>
      <c r="B227" t="str">
        <v>VG05</v>
      </c>
      <c r="C227">
        <v>37</v>
      </c>
      <c r="D227" t="str">
        <v>CVC</v>
      </c>
      <c r="E227" t="str">
        <v>HD37 VG05 Xỉ Sơn Dương - Hậu Giang</v>
      </c>
      <c r="F227">
        <v>1011241000</v>
      </c>
      <c r="H227" t="str">
        <v>AB</v>
      </c>
      <c r="I227" t="str">
        <v>Ngọc Anh</v>
      </c>
    </row>
    <row r="228">
      <c r="A228">
        <v>46361</v>
      </c>
      <c r="B228" t="str">
        <v>VG36</v>
      </c>
      <c r="C228">
        <v>38</v>
      </c>
      <c r="D228" t="str">
        <v>CVC</v>
      </c>
      <c r="E228" t="str">
        <v>HD38 VG36 Xỉ Sơn Dương - HCM</v>
      </c>
      <c r="F228">
        <v>1159860870</v>
      </c>
      <c r="H228" t="str">
        <v>AB</v>
      </c>
      <c r="I228" t="str">
        <v>Ngọc Anh</v>
      </c>
    </row>
    <row r="229">
      <c r="A229">
        <v>46361</v>
      </c>
      <c r="B229" t="str">
        <v>VG09</v>
      </c>
      <c r="C229">
        <v>42</v>
      </c>
      <c r="D229" t="str">
        <v>CVC</v>
      </c>
      <c r="E229" t="str">
        <v>HD42 VG09 Xỉ Sơn Dương - Hậu Giang</v>
      </c>
      <c r="F229">
        <v>1288287000</v>
      </c>
      <c r="H229" t="str">
        <v>AB</v>
      </c>
      <c r="I229" t="str">
        <v>Ngọc Anh</v>
      </c>
    </row>
    <row r="230">
      <c r="A230">
        <v>46361</v>
      </c>
      <c r="B230" t="str">
        <v>VP</v>
      </c>
      <c r="D230" t="str">
        <v>Văn phòng</v>
      </c>
      <c r="E230" t="str">
        <v>Xăng xe</v>
      </c>
      <c r="G230">
        <v>1400000</v>
      </c>
      <c r="H230" t="str">
        <v>CN</v>
      </c>
    </row>
    <row r="231">
      <c r="A231">
        <v>46361</v>
      </c>
      <c r="B231" t="str">
        <v>VG09</v>
      </c>
      <c r="D231" t="str">
        <v>3.Lương</v>
      </c>
      <c r="E231" t="str">
        <v>Ứng lương Lê Ngọc Anh</v>
      </c>
      <c r="G231">
        <v>2000000</v>
      </c>
      <c r="H231" t="str">
        <v>CN</v>
      </c>
    </row>
    <row r="232">
      <c r="A232" t="str">
        <v>13/5/2026</v>
      </c>
      <c r="B232" t="str">
        <v>VG36</v>
      </c>
      <c r="D232" t="str">
        <v>5.Dầu LO</v>
      </c>
      <c r="E232" t="str">
        <v>Tạm ứng mua dầu nhờn</v>
      </c>
      <c r="G232">
        <v>2000000</v>
      </c>
      <c r="H232" t="str">
        <v>AB</v>
      </c>
      <c r="I232" t="str">
        <v>Cảng Chân Mây</v>
      </c>
      <c r="J232">
        <f>365883-263883</f>
        <v>102000</v>
      </c>
    </row>
    <row r="233">
      <c r="A233" t="str">
        <v>13/5/2026</v>
      </c>
      <c r="B233" t="str">
        <v>VG09</v>
      </c>
      <c r="C233" t="str">
        <v>C10</v>
      </c>
      <c r="D233" t="str">
        <v>2.Chi Phí Cảng</v>
      </c>
      <c r="E233" t="str">
        <v>Tàu lai</v>
      </c>
      <c r="G233">
        <v>19000000</v>
      </c>
      <c r="H233" t="str">
        <v>AB</v>
      </c>
    </row>
    <row r="234">
      <c r="A234" t="str">
        <v>13/5/2026</v>
      </c>
      <c r="B234" t="str">
        <v>VG09</v>
      </c>
      <c r="C234">
        <v>26</v>
      </c>
      <c r="D234" t="str">
        <v>CVC</v>
      </c>
      <c r="E234" t="str">
        <v>HD26 VG09 Cát Vĩnh Xương - Đà Nẵng</v>
      </c>
      <c r="F234">
        <v>347647150</v>
      </c>
      <c r="H234" t="str">
        <v>VT</v>
      </c>
      <c r="I234" t="str">
        <v>Hoàng Quyên</v>
      </c>
    </row>
    <row r="235">
      <c r="A235" t="str">
        <v>13/5/2026</v>
      </c>
      <c r="B235" t="str">
        <v>VG36</v>
      </c>
      <c r="D235" t="str">
        <v>3.Lương</v>
      </c>
      <c r="E235" t="str">
        <v>Ứng lương Nguyễn Văn Danh</v>
      </c>
      <c r="G235">
        <v>5000000</v>
      </c>
      <c r="H235" t="str">
        <v>CN</v>
      </c>
    </row>
    <row r="236">
      <c r="A236" t="str">
        <v>13/5/2026</v>
      </c>
      <c r="B236" t="str">
        <v>VG05</v>
      </c>
      <c r="C236">
        <v>55</v>
      </c>
      <c r="D236" t="str">
        <v>CVC</v>
      </c>
      <c r="E236" t="str">
        <v>HD… VG05 Than Quảng Ninh - Hòn La</v>
      </c>
      <c r="F236">
        <v>180000000</v>
      </c>
      <c r="H236" t="str">
        <v>AB</v>
      </c>
      <c r="I236" t="str">
        <v>Bình Minh</v>
      </c>
    </row>
    <row r="237">
      <c r="A237" t="str">
        <v>14/5/2026</v>
      </c>
      <c r="B237" t="str">
        <v>VG18</v>
      </c>
      <c r="D237" t="str">
        <v>Nhận Nợ NH</v>
      </c>
      <c r="E237" t="str">
        <v>Trả gốc ngắn hạn</v>
      </c>
      <c r="G237">
        <f>964205860+1598869</f>
        <v>965804729</v>
      </c>
      <c r="H237" t="str">
        <v>AB</v>
      </c>
      <c r="J237">
        <v>2507088832</v>
      </c>
    </row>
    <row r="238">
      <c r="A238" t="str">
        <v>14/5/2026</v>
      </c>
      <c r="B238" t="str">
        <v>VG18</v>
      </c>
      <c r="D238" t="str">
        <v>Nhận Nợ NH</v>
      </c>
      <c r="E238" t="str">
        <v>Trả gốc ngắn hạn</v>
      </c>
      <c r="G238">
        <v>735064640</v>
      </c>
      <c r="H238" t="str">
        <v>AB</v>
      </c>
      <c r="J238">
        <f>+J4-J237</f>
        <v>-924845579</v>
      </c>
    </row>
    <row r="239">
      <c r="A239" t="str">
        <v>14/5/2026</v>
      </c>
      <c r="B239" t="str">
        <v>VG09</v>
      </c>
      <c r="C239">
        <v>54</v>
      </c>
      <c r="D239" t="str">
        <v>CVC</v>
      </c>
      <c r="E239" t="str">
        <v>HD... VG09 Than Quảng Ninh - Nghi Sơn</v>
      </c>
      <c r="F239">
        <v>230000000</v>
      </c>
      <c r="H239" t="str">
        <v>AB</v>
      </c>
      <c r="I239" t="str">
        <v>Thái Bình Dương</v>
      </c>
    </row>
    <row r="240">
      <c r="A240" t="str">
        <v>15/5/2026</v>
      </c>
      <c r="B240" t="str">
        <v>VG36</v>
      </c>
      <c r="D240" t="str">
        <v>5.Dầu LO</v>
      </c>
      <c r="E240" t="str">
        <v>Trả tiền dầu Lo tại Huế</v>
      </c>
      <c r="G240">
        <v>52298075</v>
      </c>
      <c r="H240" t="str">
        <v>AB</v>
      </c>
    </row>
    <row r="241">
      <c r="A241" t="str">
        <v>15/5/2026</v>
      </c>
      <c r="B241" t="str">
        <v>VG36</v>
      </c>
      <c r="D241" t="str">
        <v>1.Tàu Ứng</v>
      </c>
      <c r="E241" t="str">
        <v>Ứng tiền</v>
      </c>
      <c r="G241">
        <v>30000000</v>
      </c>
      <c r="H241" t="str">
        <v>AB</v>
      </c>
    </row>
    <row r="242">
      <c r="A242" t="str">
        <v>15/5/2026</v>
      </c>
      <c r="B242" t="str">
        <v>VG05</v>
      </c>
      <c r="D242" t="str">
        <v>4.Dầu DO</v>
      </c>
      <c r="E242" t="str">
        <v>Trả tiền dầu DO đơn 5/5</v>
      </c>
      <c r="G242">
        <f>300000000+296035830</f>
        <v>596035830</v>
      </c>
      <c r="H242" t="str">
        <v>AB</v>
      </c>
      <c r="I242" t="str">
        <v>Hoàng Khải</v>
      </c>
    </row>
    <row r="243">
      <c r="A243" t="str">
        <v>15/5/2026</v>
      </c>
      <c r="B243" t="str">
        <v>VG09</v>
      </c>
      <c r="D243" t="str">
        <v>4.Dầu DO</v>
      </c>
      <c r="E243" t="str">
        <v>Trả tiền dầu DO đơn 4/5</v>
      </c>
      <c r="G243">
        <v>788697000</v>
      </c>
      <c r="H243" t="str">
        <v>AB</v>
      </c>
    </row>
    <row r="244">
      <c r="A244" t="str">
        <v>15/5/2026</v>
      </c>
      <c r="B244" t="str">
        <v>VG09</v>
      </c>
      <c r="C244" t="str">
        <v>C9</v>
      </c>
      <c r="D244" t="str">
        <v>2.Chi Phí Cảng</v>
      </c>
      <c r="E244" t="str">
        <v>Đại lý tại Sơn Dương</v>
      </c>
      <c r="G244">
        <v>2160000</v>
      </c>
      <c r="H244" t="str">
        <v>AB</v>
      </c>
      <c r="I244" t="str">
        <v>Lê Phạm</v>
      </c>
    </row>
    <row r="245">
      <c r="A245" t="str">
        <v>15/5/2026</v>
      </c>
      <c r="B245" t="str">
        <v>VG05</v>
      </c>
      <c r="C245" t="str">
        <v>C9</v>
      </c>
      <c r="D245" t="str">
        <v>2.Chi Phí Cảng</v>
      </c>
      <c r="E245" t="str">
        <v>Đại lý tại Sơn Dương</v>
      </c>
      <c r="G245">
        <v>39501000</v>
      </c>
      <c r="H245" t="str">
        <v>AB</v>
      </c>
      <c r="I245" t="str">
        <v>Lê Phạm</v>
      </c>
    </row>
    <row r="246">
      <c r="A246" t="str">
        <v>15/5/2026</v>
      </c>
      <c r="B246" t="str">
        <v>VG18</v>
      </c>
      <c r="C246" t="str">
        <v>C10</v>
      </c>
      <c r="D246" t="str">
        <v>2.Chi Phí Cảng</v>
      </c>
      <c r="E246" t="str">
        <v>Đại lý tại Sơn Dương</v>
      </c>
      <c r="G246">
        <v>42829682</v>
      </c>
      <c r="H246" t="str">
        <v>AB</v>
      </c>
      <c r="I246" t="str">
        <v>Lê Phạm</v>
      </c>
      <c r="J246">
        <f>84490682-G245-G244</f>
        <v>42829682</v>
      </c>
    </row>
    <row r="247">
      <c r="A247" t="str">
        <v>15/5/2026</v>
      </c>
      <c r="B247" t="str">
        <v>VG36</v>
      </c>
      <c r="C247" t="str">
        <v>C11</v>
      </c>
      <c r="D247" t="str">
        <v>2.Chi Phí Cảng</v>
      </c>
      <c r="E247" t="str">
        <v>Đại lý tại Hậu Giang</v>
      </c>
      <c r="G247">
        <v>36215000</v>
      </c>
      <c r="H247" t="str">
        <v>AB</v>
      </c>
      <c r="I247" t="str">
        <v>Sông Hậu</v>
      </c>
    </row>
    <row r="248">
      <c r="A248" t="str">
        <v>15/5/2026</v>
      </c>
      <c r="B248" t="str">
        <v>VG36</v>
      </c>
      <c r="C248" t="str">
        <v>C12</v>
      </c>
      <c r="D248" t="str">
        <v>2.Chi Phí Cảng</v>
      </c>
      <c r="E248" t="str">
        <v>Đại lý tại Vĩnh Xương</v>
      </c>
      <c r="G248">
        <v>52468000</v>
      </c>
      <c r="H248" t="str">
        <v>AB</v>
      </c>
      <c r="I248" t="str">
        <v>Sông Hậu</v>
      </c>
    </row>
    <row r="249">
      <c r="A249" t="str">
        <v>15/5/2026</v>
      </c>
      <c r="B249" t="str">
        <v>VG18</v>
      </c>
      <c r="C249" t="str">
        <v>C10</v>
      </c>
      <c r="D249" t="str">
        <v>2.Chi Phí Cảng</v>
      </c>
      <c r="E249" t="str">
        <v>Đại lý tại Hậu Giang</v>
      </c>
      <c r="G249">
        <v>42646753</v>
      </c>
      <c r="H249" t="str">
        <v>AB</v>
      </c>
      <c r="I249" t="str">
        <v>Sông Hậu</v>
      </c>
      <c r="J249">
        <v>131329753</v>
      </c>
    </row>
    <row r="250">
      <c r="A250" t="str">
        <v>15/5/2026</v>
      </c>
      <c r="B250" t="str">
        <v>VG18</v>
      </c>
      <c r="C250">
        <v>43</v>
      </c>
      <c r="D250" t="str">
        <v>CVC</v>
      </c>
      <c r="E250" t="str">
        <v>HD43 VG18 lần 1</v>
      </c>
      <c r="F250">
        <v>499000000</v>
      </c>
      <c r="H250" t="str">
        <v>AB</v>
      </c>
      <c r="I250" t="str">
        <v>Ngọc Anh</v>
      </c>
      <c r="J250">
        <f>+J249-G248-G247</f>
        <v>42646753</v>
      </c>
    </row>
    <row r="251">
      <c r="A251" t="str">
        <v>15/5/2026</v>
      </c>
      <c r="B251" t="str">
        <v>VP</v>
      </c>
      <c r="D251" t="str">
        <v>Văn phòng</v>
      </c>
      <c r="E251" t="str">
        <v>Phí SMS</v>
      </c>
      <c r="G251">
        <v>150000</v>
      </c>
      <c r="H251" t="str">
        <v>VT</v>
      </c>
    </row>
    <row r="252">
      <c r="A252" t="str">
        <v>15/5/2026</v>
      </c>
      <c r="B252" t="str">
        <v>VGnew</v>
      </c>
      <c r="E252" t="str">
        <v>Thẩm định 5 tầu</v>
      </c>
      <c r="G252">
        <v>5500000</v>
      </c>
      <c r="H252" t="str">
        <v>VT</v>
      </c>
    </row>
    <row r="253">
      <c r="A253" t="str">
        <v>16/5/2026</v>
      </c>
      <c r="B253" t="str">
        <v>VG18</v>
      </c>
      <c r="D253" t="str">
        <v>1.Tàu Ứng</v>
      </c>
      <c r="E253" t="str">
        <v>Ứng tiền</v>
      </c>
      <c r="G253">
        <v>30000000</v>
      </c>
      <c r="H253" t="str">
        <v>VT</v>
      </c>
    </row>
    <row r="254">
      <c r="A254" t="str">
        <v>16/5/2026</v>
      </c>
      <c r="B254" t="str">
        <v>VG36</v>
      </c>
      <c r="C254" t="str">
        <v>C11</v>
      </c>
      <c r="D254" t="str">
        <v>2.Chi Phí Cảng</v>
      </c>
      <c r="E254" t="str">
        <v>Cầu bến, tàu lai tại Chân Mây</v>
      </c>
      <c r="G254">
        <v>19271866</v>
      </c>
      <c r="H254" t="str">
        <v>AB</v>
      </c>
    </row>
    <row r="255">
      <c r="A255" t="str">
        <v>16/5/2026</v>
      </c>
      <c r="B255" t="str">
        <v>VG09</v>
      </c>
      <c r="D255" t="str">
        <v>1.Tàu Ứng</v>
      </c>
      <c r="E255" t="str">
        <v>Ứng tiền</v>
      </c>
      <c r="G255">
        <v>20000000</v>
      </c>
      <c r="H255" t="str">
        <v>AB</v>
      </c>
    </row>
    <row r="256">
      <c r="A256" t="str">
        <v>16/5/2026</v>
      </c>
      <c r="B256" t="str">
        <v>VG15</v>
      </c>
      <c r="D256" t="str">
        <v>1.Tàu Ứng</v>
      </c>
      <c r="E256" t="str">
        <v>Ứng tiền</v>
      </c>
      <c r="G256">
        <v>20000000</v>
      </c>
      <c r="H256" t="str">
        <v>AB</v>
      </c>
    </row>
    <row r="257">
      <c r="A257" t="str">
        <v>16/5/2026</v>
      </c>
      <c r="D257" t="str">
        <v>CVC</v>
      </c>
      <c r="E257" t="str">
        <v>Trả tiền gửi Ngọc Anh</v>
      </c>
      <c r="G257">
        <v>300000000</v>
      </c>
      <c r="H257" t="str">
        <v>AB</v>
      </c>
      <c r="I257" t="str">
        <v>Ngọc Anh</v>
      </c>
    </row>
    <row r="258">
      <c r="A258" t="str">
        <v>16/5/2026</v>
      </c>
      <c r="B258" t="str">
        <v>VP</v>
      </c>
      <c r="D258" t="str">
        <v>Luân chuyển</v>
      </c>
      <c r="E258" t="str">
        <v>Chuyển tk Tùng</v>
      </c>
      <c r="G258">
        <v>62341000</v>
      </c>
      <c r="H258" t="str">
        <v>AB</v>
      </c>
    </row>
    <row r="259">
      <c r="A259" t="str">
        <v>16/5/2026</v>
      </c>
      <c r="B259" t="str">
        <v>VP</v>
      </c>
      <c r="D259" t="str">
        <v>Luân chuyển</v>
      </c>
      <c r="E259" t="str">
        <v>Chuyển tk Tùng</v>
      </c>
      <c r="F259">
        <v>67518500</v>
      </c>
      <c r="H259" t="str">
        <v>CN</v>
      </c>
    </row>
    <row r="260">
      <c r="A260" t="str">
        <v>16/5/2026</v>
      </c>
      <c r="B260" t="str">
        <v>VG18</v>
      </c>
      <c r="D260" t="str">
        <v>4.Dầu DO</v>
      </c>
      <c r="E260" t="str">
        <v>Trả tiền dầu</v>
      </c>
      <c r="G260">
        <v>419365190</v>
      </c>
      <c r="H260" t="str">
        <v>AB</v>
      </c>
      <c r="I260" t="str">
        <v>Hoàng Khải</v>
      </c>
    </row>
    <row r="261">
      <c r="A261" t="str">
        <v>19/5/2026</v>
      </c>
      <c r="B261" t="str">
        <v>VP</v>
      </c>
      <c r="D261" t="str">
        <v>Văn phòng</v>
      </c>
      <c r="E261" t="str">
        <v xml:space="preserve">Thuế </v>
      </c>
      <c r="G261">
        <f>1233225+15000</f>
        <v>1248225</v>
      </c>
      <c r="H261" t="str">
        <v>VT</v>
      </c>
    </row>
    <row r="262">
      <c r="A262" t="str">
        <v>20/5/2026</v>
      </c>
      <c r="B262" t="str">
        <v>VG18</v>
      </c>
      <c r="C262">
        <v>43</v>
      </c>
      <c r="D262" t="str">
        <v>CVC</v>
      </c>
      <c r="E262" t="str">
        <v>HD43 VG18</v>
      </c>
      <c r="F262">
        <v>1511852000</v>
      </c>
      <c r="H262" t="str">
        <v>AB</v>
      </c>
      <c r="I262" t="str">
        <v>Ngọc Anh</v>
      </c>
    </row>
    <row r="263">
      <c r="A263" t="str">
        <v>20/5/2026</v>
      </c>
      <c r="B263" t="str">
        <v>VG15</v>
      </c>
      <c r="C263">
        <v>44</v>
      </c>
      <c r="D263" t="str">
        <v>CVC</v>
      </c>
      <c r="E263" t="str">
        <v>HD44 VG15</v>
      </c>
      <c r="F263">
        <v>410400000</v>
      </c>
      <c r="H263" t="str">
        <v>AB</v>
      </c>
      <c r="I263" t="str">
        <v>Ngọc Anh</v>
      </c>
    </row>
    <row r="264">
      <c r="A264" t="str">
        <v>20/5/2026</v>
      </c>
      <c r="B264" t="str">
        <v>VG18</v>
      </c>
      <c r="D264" t="str">
        <v>6.Lãi Vay</v>
      </c>
      <c r="E264" t="str">
        <v>Trả gốc trung hạn</v>
      </c>
      <c r="G264">
        <v>803265000</v>
      </c>
      <c r="H264" t="str">
        <v>AB</v>
      </c>
    </row>
    <row r="265">
      <c r="A265" t="str">
        <v>20/5/2026</v>
      </c>
      <c r="B265" t="str">
        <v>VG18</v>
      </c>
      <c r="D265" t="str">
        <v>6.Lãi Vay</v>
      </c>
      <c r="E265" t="str">
        <v>Trả lãi trung hạn</v>
      </c>
      <c r="G265">
        <v>249003183</v>
      </c>
      <c r="H265" t="str">
        <v>AB</v>
      </c>
    </row>
    <row r="266">
      <c r="A266" t="str">
        <v>21/5/2026</v>
      </c>
      <c r="B266" t="str">
        <v>VG36</v>
      </c>
      <c r="D266" t="str">
        <v>9.Vật Tư</v>
      </c>
      <c r="E266" t="str">
        <v>Quấn Motor</v>
      </c>
      <c r="G266">
        <v>8679000</v>
      </c>
      <c r="H266" t="str">
        <v>VT</v>
      </c>
    </row>
    <row r="267">
      <c r="A267" t="str">
        <v>22/5/2026</v>
      </c>
      <c r="B267" t="str">
        <v>VP</v>
      </c>
      <c r="D267" t="str">
        <v>Văn phòng</v>
      </c>
      <c r="E267" t="str">
        <v>Bảo hiểm</v>
      </c>
      <c r="G267">
        <v>73980000</v>
      </c>
      <c r="H267" t="str">
        <v>VT</v>
      </c>
    </row>
    <row r="268">
      <c r="A268" t="str">
        <v>21/5/2026</v>
      </c>
      <c r="B268" t="str">
        <v>VG15</v>
      </c>
      <c r="D268" t="str">
        <v>9.Vật Tư</v>
      </c>
      <c r="E268" t="str">
        <v>Đồ máy 24</v>
      </c>
      <c r="G268">
        <v>320000</v>
      </c>
      <c r="H268" t="str">
        <v>CN</v>
      </c>
    </row>
    <row r="269">
      <c r="A269" t="str">
        <v>27/5/2026</v>
      </c>
      <c r="B269" t="str">
        <v>VP</v>
      </c>
      <c r="D269" t="str">
        <v>Văn phòng</v>
      </c>
      <c r="E269" t="str">
        <v>Rút tiền đưa Ông</v>
      </c>
      <c r="G269">
        <v>400000000</v>
      </c>
      <c r="H269" t="str">
        <v>VT</v>
      </c>
    </row>
    <row r="270">
      <c r="A270" t="str">
        <v>27/5/2026</v>
      </c>
      <c r="B270" t="str">
        <v>VG15</v>
      </c>
      <c r="C270" t="str">
        <v>C10</v>
      </c>
      <c r="D270" t="str">
        <v>2.Chi Phí Cảng</v>
      </c>
      <c r="E270" t="str">
        <v>Cầu bến tại Huế</v>
      </c>
      <c r="G270">
        <v>18571540</v>
      </c>
      <c r="H270" t="str">
        <v>VT</v>
      </c>
    </row>
    <row r="271">
      <c r="A271" t="str">
        <v>27/5/2026</v>
      </c>
      <c r="B271" t="str">
        <v>VP</v>
      </c>
      <c r="D271" t="str">
        <v>Luân chuyển</v>
      </c>
      <c r="E271" t="str">
        <v>Chuyển tk Tùng</v>
      </c>
      <c r="G271">
        <v>1399956900</v>
      </c>
      <c r="H271" t="str">
        <v>VT</v>
      </c>
    </row>
    <row r="272">
      <c r="A272" t="str">
        <v>27/5/2026</v>
      </c>
      <c r="B272" t="str">
        <v>VP</v>
      </c>
      <c r="D272" t="str">
        <v>Luân chuyển</v>
      </c>
      <c r="E272" t="str">
        <v>Chuyển tk Tùng</v>
      </c>
      <c r="F272">
        <v>1399956900</v>
      </c>
      <c r="H272" t="str">
        <v>CN</v>
      </c>
    </row>
    <row r="273">
      <c r="A273" t="str">
        <v>27/5/2026</v>
      </c>
      <c r="B273" t="str">
        <v>VP</v>
      </c>
      <c r="D273" t="str">
        <v>3.Lương</v>
      </c>
      <c r="E273" t="str">
        <v>Lương C Phương Tháng 4</v>
      </c>
      <c r="G273">
        <v>20000000</v>
      </c>
      <c r="H273" t="str">
        <v>CN</v>
      </c>
    </row>
    <row r="274">
      <c r="A274" t="str">
        <v>27/5/2026</v>
      </c>
      <c r="B274" t="str">
        <v>VP</v>
      </c>
      <c r="D274" t="str">
        <v>3.Lương</v>
      </c>
      <c r="E274" t="str">
        <v>Lương Tùng Tháng 4</v>
      </c>
      <c r="G274">
        <v>40000000</v>
      </c>
      <c r="H274" t="str">
        <v>CN</v>
      </c>
    </row>
    <row r="275">
      <c r="A275" t="str">
        <v>27/5/2026</v>
      </c>
      <c r="B275" t="str">
        <v>VP</v>
      </c>
      <c r="D275" t="str">
        <v>3.Lương</v>
      </c>
      <c r="E275" t="str">
        <v>Lương Vĩnh Tháng 4</v>
      </c>
      <c r="G275">
        <v>67450000</v>
      </c>
      <c r="H275" t="str">
        <v>CN</v>
      </c>
    </row>
    <row r="276">
      <c r="A276" t="str">
        <v>27/5/2026</v>
      </c>
      <c r="B276" t="str">
        <v>VG05</v>
      </c>
      <c r="D276" t="str">
        <v>3.Lương</v>
      </c>
      <c r="E276" t="str">
        <v>Lương thuyền Viên Tháng 4</v>
      </c>
      <c r="G276">
        <v>199869500</v>
      </c>
      <c r="H276" t="str">
        <v>CN</v>
      </c>
    </row>
    <row r="277">
      <c r="A277" t="str">
        <v>27/5/2026</v>
      </c>
      <c r="B277" t="str">
        <v>VG09</v>
      </c>
      <c r="D277" t="str">
        <v>3.Lương</v>
      </c>
      <c r="E277" t="str">
        <v>Lương thuyền Viên Tháng 4</v>
      </c>
      <c r="G277">
        <v>204731500</v>
      </c>
      <c r="H277" t="str">
        <v>CN</v>
      </c>
    </row>
    <row r="278">
      <c r="A278" t="str">
        <v>27/5/2026</v>
      </c>
      <c r="B278" t="str">
        <v>VG15</v>
      </c>
      <c r="D278" t="str">
        <v>3.Lương</v>
      </c>
      <c r="E278" t="str">
        <v>Lương thuyền Viên Tháng 4</v>
      </c>
      <c r="G278">
        <v>202571500</v>
      </c>
      <c r="H278" t="str">
        <v>CN</v>
      </c>
    </row>
    <row r="279">
      <c r="A279" t="str">
        <v>27/5/2026</v>
      </c>
      <c r="B279" t="str">
        <v>VG18</v>
      </c>
      <c r="D279" t="str">
        <v>3.Lương</v>
      </c>
      <c r="E279" t="str">
        <v>Lương thuyền Viên Tháng 4</v>
      </c>
      <c r="G279">
        <v>223093500</v>
      </c>
      <c r="H279" t="str">
        <v>CN</v>
      </c>
    </row>
    <row r="280">
      <c r="A280" t="str">
        <v>27/5/2026</v>
      </c>
      <c r="B280" t="str">
        <v>VG36</v>
      </c>
      <c r="D280" t="str">
        <v>3.Lương</v>
      </c>
      <c r="E280" t="str">
        <v>Lương thuyền Viên Tháng 4</v>
      </c>
      <c r="G280">
        <v>198776167</v>
      </c>
      <c r="H280" t="str">
        <v>CN</v>
      </c>
    </row>
    <row r="281">
      <c r="A281" t="str">
        <v>27/5/2026</v>
      </c>
      <c r="B281" t="str">
        <v>VG15</v>
      </c>
      <c r="D281" t="str">
        <v>3.Lương</v>
      </c>
      <c r="E281" t="str">
        <v>Thu tiền ứng trước Lưu Quang Trường (ất)</v>
      </c>
      <c r="F281">
        <v>4000000</v>
      </c>
      <c r="H281" t="str">
        <v>CN</v>
      </c>
    </row>
    <row r="282">
      <c r="A282" t="str">
        <v>27/5/2026</v>
      </c>
      <c r="B282" t="str">
        <v>VG09</v>
      </c>
      <c r="D282" t="str">
        <v>3.Lương</v>
      </c>
      <c r="E282" t="str">
        <v>Thu tiền ứng trước Lê Ngọc Anh</v>
      </c>
      <c r="F282">
        <v>2000000</v>
      </c>
      <c r="H282" t="str">
        <v>CN</v>
      </c>
    </row>
    <row r="283">
      <c r="A283" t="str">
        <v>27/5/2026</v>
      </c>
      <c r="B283" t="str">
        <v>VG36</v>
      </c>
      <c r="D283" t="str">
        <v>3.Lương</v>
      </c>
      <c r="E283" t="str">
        <v>Thu tiền ứng trước Danh</v>
      </c>
      <c r="F283">
        <v>5000000</v>
      </c>
      <c r="H283" t="str">
        <v>CN</v>
      </c>
    </row>
    <row r="284">
      <c r="A284" t="str">
        <v>27/5/2026</v>
      </c>
      <c r="B284" t="str">
        <v>VG15</v>
      </c>
      <c r="D284" t="str">
        <v>3.Lương</v>
      </c>
      <c r="E284" t="str">
        <v>Ứng lương Lê Ngọc Hoa</v>
      </c>
      <c r="G284">
        <v>5000000</v>
      </c>
      <c r="H284" t="str">
        <v>CN</v>
      </c>
    </row>
    <row r="285">
      <c r="A285" t="str">
        <v>27/5/2026</v>
      </c>
      <c r="B285" t="str">
        <v>VG18</v>
      </c>
      <c r="D285" t="str">
        <v>3.Lương</v>
      </c>
      <c r="E285" t="str">
        <v>Ứng lương Lê Văn Hùng</v>
      </c>
      <c r="G285">
        <v>10000000</v>
      </c>
      <c r="H285" t="str">
        <v>CN</v>
      </c>
    </row>
    <row r="286">
      <c r="A286" t="str">
        <v>27/5/2026</v>
      </c>
      <c r="B286" t="str">
        <v>VG18</v>
      </c>
      <c r="D286" t="str">
        <v>3.Lương</v>
      </c>
      <c r="E286" t="str">
        <v>Ứng lương Châu</v>
      </c>
      <c r="G286">
        <v>5000000</v>
      </c>
      <c r="H286" t="str">
        <v>CN</v>
      </c>
    </row>
  </sheetData>
  <autoFilter ref="A9:W270"/>
  <pageMargins left="0.7" right="0.7" top="0.75" bottom="0.75" header="0.3" footer="0.3"/>
  <ignoredErrors>
    <ignoredError numberStoredAsText="1" sqref="A2:W28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THU-CHI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2025-09-22T08:19:12Z</dcterms:created>
  <dcterms:modified xsi:type="dcterms:W3CDTF">2026-05-22T07:16:46Z</dcterms:modified>
  <cp:lastModifiedBy>Administrator</cp:lastModifiedBy>
  <cp:lastPrinted>2026-05-20T05:41:15Z</cp:lastPrinted>
  <dc:creator>Administrator</dc:creator>
</cp:coreProperties>
</file>