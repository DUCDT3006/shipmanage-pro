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VU GIA TAM\1.TAI CHINH\"/>
    </mc:Choice>
  </mc:AlternateContent>
  <xr:revisionPtr revIDLastSave="0" documentId="13_ncr:1_{EE970E07-5F3A-4A6E-B7A8-B3E058F643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Đại lý" sheetId="4" r:id="rId1"/>
  </sheets>
  <definedNames>
    <definedName name="_xlnm._FilterDatabase" localSheetId="0" hidden="1">'Đại lý'!$A$3:$G$58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4" l="1"/>
  <c r="D11" i="4" l="1"/>
</calcChain>
</file>

<file path=xl/sharedStrings.xml><?xml version="1.0" encoding="utf-8"?>
<sst xmlns="http://schemas.openxmlformats.org/spreadsheetml/2006/main" count="230" uniqueCount="63">
  <si>
    <t>VG09</t>
  </si>
  <si>
    <t>VG36</t>
  </si>
  <si>
    <t>VG05</t>
  </si>
  <si>
    <t>Tên hàng</t>
  </si>
  <si>
    <t>VG15</t>
  </si>
  <si>
    <t>TÀU</t>
  </si>
  <si>
    <t>TUYẾN 
HÀNH TRÌNH</t>
  </si>
  <si>
    <t>ĐẠI LÝ</t>
  </si>
  <si>
    <t>Lê Phạm</t>
  </si>
  <si>
    <t>Sông Hậu</t>
  </si>
  <si>
    <t>Sông hậu</t>
  </si>
  <si>
    <t>Vĩnh Xương - Đà Nẵng</t>
  </si>
  <si>
    <t>VG18</t>
  </si>
  <si>
    <t>THEO DÕI PHÍ ĐẠI LÝ NĂM 2026</t>
  </si>
  <si>
    <t>VĨnh Tân - Nghi Sơn</t>
  </si>
  <si>
    <t>Agensea</t>
  </si>
  <si>
    <t>Tàu tự làm</t>
  </si>
  <si>
    <t>Sơn Dương - Hậu giang</t>
  </si>
  <si>
    <t>Nghi Sơn - HCM</t>
  </si>
  <si>
    <t>Hòn La - Hậu Giang</t>
  </si>
  <si>
    <t>Sơn Dương - HCM</t>
  </si>
  <si>
    <t>Sunshine</t>
  </si>
  <si>
    <t>Vĩnh Tân - Nghi Sơn</t>
  </si>
  <si>
    <t>Agent sea</t>
  </si>
  <si>
    <t>An Giang- Cửa Lò</t>
  </si>
  <si>
    <t>Vũng Tàu - Nam Vân Phong</t>
  </si>
  <si>
    <t>NOVA</t>
  </si>
  <si>
    <t>Sơn Dương - Tây đô, cần thơ</t>
  </si>
  <si>
    <t>Vĩnh Xương -Hải Phòng</t>
  </si>
  <si>
    <t>Sơn Dương - Hậu Giang</t>
  </si>
  <si>
    <t>Vĩnh Xương - Hải Phòng</t>
  </si>
  <si>
    <t>QT xanh</t>
  </si>
  <si>
    <t>Hòn La - HCM</t>
  </si>
  <si>
    <t>Hòn La  - Cần Thơ</t>
  </si>
  <si>
    <t>Hòn La, SD - Hậu Giang</t>
  </si>
  <si>
    <t>Vĩnh Xương - hải phòng</t>
  </si>
  <si>
    <t>Sơn Dương - Cần Thơ</t>
  </si>
  <si>
    <t>Quốc tế xanh</t>
  </si>
  <si>
    <t>Quảng Ninh - Nghi Sơn</t>
  </si>
  <si>
    <t>Hoàng Đăng</t>
  </si>
  <si>
    <t>Chân Mây - Cần Thơ</t>
  </si>
  <si>
    <t>Hòn La - Đồng Nai</t>
  </si>
  <si>
    <t>Gò Gia - Đà Nẵng</t>
  </si>
  <si>
    <t>Đồng Nai- HP</t>
  </si>
  <si>
    <t>Quảng Ninh- hòn la</t>
  </si>
  <si>
    <t>Hậu Giang, Vĩnh Hưng- Đà Nẵng</t>
  </si>
  <si>
    <t>Chân Mây - Hậu Giang</t>
  </si>
  <si>
    <t>Quảng Ninh - Hòn La</t>
  </si>
  <si>
    <t>Vĩnh Xương - Huy Văn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</si>
  <si>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</si>
  <si>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</si>
  <si>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</si>
  <si>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</si>
  <si>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</si>
  <si>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</si>
  <si>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</si>
  <si>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</si>
  <si>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</si>
  <si>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</si>
  <si>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</si>
  <si>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Chi  phí cảng xếp</t>
  </si>
  <si>
    <t>Chi  phí cảng dỡ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</si>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</sst>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72" formatCode="_(* #,##0.0_);_(* \(#,##0.0\);_(* &quot;-&quot;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u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164" fontId="3" fillId="0" borderId="4" xfId="1" applyNumberFormat="1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164" fontId="3" fillId="0" borderId="0" xfId="0" applyNumberFormat="1" applyFont="1"/>
    <xf numFmtId="164" fontId="3" fillId="0" borderId="0" xfId="1" applyNumberFormat="1" applyFont="1"/>
    <xf numFmtId="0" fontId="5" fillId="2" borderId="0" xfId="0" applyFont="1" applyFill="1"/>
    <xf numFmtId="0" fontId="3" fillId="2" borderId="0" xfId="0" applyFont="1" applyFill="1"/>
    <xf numFmtId="164" fontId="3" fillId="0" borderId="6" xfId="1" applyNumberFormat="1" applyFont="1" applyBorder="1"/>
    <xf numFmtId="164" fontId="5" fillId="2" borderId="4" xfId="1" applyNumberFormat="1" applyFont="1" applyFill="1" applyBorder="1"/>
    <xf numFmtId="0" fontId="4" fillId="0" borderId="4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7" fillId="0" borderId="0" xfId="0" applyFont="1"/>
    <xf numFmtId="164" fontId="3" fillId="0" borderId="4" xfId="1" applyNumberFormat="1" applyFont="1" applyBorder="1" applyAlignment="1"/>
    <xf numFmtId="0" fontId="4" fillId="0" borderId="9" xfId="0" applyFont="1" applyBorder="1" applyAlignment="1">
      <alignment wrapText="1"/>
    </xf>
    <xf numFmtId="164" fontId="5" fillId="2" borderId="0" xfId="0" applyNumberFormat="1" applyFont="1" applyFill="1"/>
    <xf numFmtId="0" fontId="6" fillId="0" borderId="9" xfId="0" applyFont="1" applyBorder="1"/>
    <xf numFmtId="0" fontId="3" fillId="0" borderId="0" xfId="0" applyFont="1" applyAlignment="1">
      <alignment horizontal="center"/>
    </xf>
    <xf numFmtId="164" fontId="5" fillId="2" borderId="9" xfId="1" applyNumberFormat="1" applyFont="1" applyFill="1" applyBorder="1"/>
    <xf numFmtId="164" fontId="5" fillId="2" borderId="4" xfId="1" applyNumberFormat="1" applyFont="1" applyFill="1" applyBorder="1" applyAlignment="1">
      <alignment horizontal="center"/>
    </xf>
    <xf numFmtId="164" fontId="5" fillId="2" borderId="6" xfId="1" applyNumberFormat="1" applyFont="1" applyFill="1" applyBorder="1"/>
    <xf numFmtId="164" fontId="5" fillId="2" borderId="0" xfId="1" applyNumberFormat="1" applyFont="1" applyFill="1"/>
    <xf numFmtId="164" fontId="5" fillId="2" borderId="4" xfId="1" applyNumberFormat="1" applyFont="1" applyFill="1" applyBorder="1" applyAlignment="1"/>
    <xf numFmtId="0" fontId="4" fillId="0" borderId="8" xfId="0" applyFont="1" applyBorder="1" applyAlignment="1">
      <alignment vertical="center"/>
    </xf>
    <xf numFmtId="164" fontId="5" fillId="2" borderId="13" xfId="1" applyNumberFormat="1" applyFont="1" applyFill="1" applyBorder="1" applyAlignment="1"/>
    <xf numFmtId="164" fontId="5" fillId="2" borderId="5" xfId="1" applyNumberFormat="1" applyFont="1" applyFill="1" applyBorder="1"/>
    <xf numFmtId="0" fontId="8" fillId="0" borderId="0" xfId="0" applyFont="1"/>
    <xf numFmtId="164" fontId="8" fillId="0" borderId="0" xfId="1" applyNumberFormat="1" applyFont="1" applyAlignment="1">
      <alignment horizontal="center"/>
    </xf>
    <xf numFmtId="164" fontId="5" fillId="2" borderId="0" xfId="1" applyNumberFormat="1" applyFont="1" applyFill="1" applyAlignment="1">
      <alignment horizontal="center"/>
    </xf>
    <xf numFmtId="164" fontId="6" fillId="2" borderId="0" xfId="1" applyNumberFormat="1" applyFont="1" applyFill="1" applyAlignment="1">
      <alignment horizontal="center"/>
    </xf>
    <xf numFmtId="164" fontId="8" fillId="0" borderId="0" xfId="1" applyNumberFormat="1" applyFont="1"/>
    <xf numFmtId="164" fontId="9" fillId="0" borderId="0" xfId="1" applyNumberFormat="1" applyFont="1"/>
    <xf numFmtId="164" fontId="6" fillId="2" borderId="0" xfId="0" applyNumberFormat="1" applyFont="1" applyFill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164" fontId="5" fillId="2" borderId="14" xfId="1" applyNumberFormat="1" applyFont="1" applyFill="1" applyBorder="1" applyAlignment="1">
      <alignment horizontal="center"/>
    </xf>
    <xf numFmtId="164" fontId="3" fillId="2" borderId="9" xfId="1" applyNumberFormat="1" applyFont="1" applyFill="1" applyBorder="1" applyAlignment="1"/>
    <xf numFmtId="164" fontId="5" fillId="0" borderId="4" xfId="1" applyNumberFormat="1" applyFont="1" applyBorder="1" applyAlignment="1"/>
    <xf numFmtId="164" fontId="3" fillId="0" borderId="9" xfId="1" applyNumberFormat="1" applyFont="1" applyBorder="1" applyAlignment="1"/>
    <xf numFmtId="164" fontId="5" fillId="0" borderId="13" xfId="1" applyNumberFormat="1" applyFont="1" applyBorder="1" applyAlignment="1">
      <alignment horizontal="center"/>
    </xf>
    <xf numFmtId="0" fontId="4" fillId="0" borderId="4" xfId="0" applyFont="1" applyBorder="1" applyAlignment="1">
      <alignment horizontal="left" vertical="center" wrapText="1"/>
    </xf>
    <xf numFmtId="0" fontId="8" fillId="0" borderId="0" xfId="0" applyFont="1" applyAlignment="1">
      <alignment horizontal="center"/>
    </xf>
    <xf numFmtId="172" fontId="5" fillId="2" borderId="0" xfId="0" applyNumberFormat="1" applyFont="1" applyFill="1"/>
    <xf numFmtId="164" fontId="5" fillId="2" borderId="9" xfId="1" applyNumberFormat="1" applyFont="1" applyFill="1" applyBorder="1" applyAlignment="1"/>
    <xf numFmtId="164" fontId="3" fillId="0" borderId="7" xfId="1" applyNumberFormat="1" applyFont="1" applyBorder="1" applyAlignment="1"/>
    <xf numFmtId="0" fontId="3" fillId="3" borderId="0" xfId="0" applyFont="1" applyFill="1"/>
    <xf numFmtId="0" fontId="4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64" fontId="5" fillId="0" borderId="13" xfId="1" applyNumberFormat="1" applyFont="1" applyFill="1" applyBorder="1" applyAlignment="1">
      <alignment horizontal="center"/>
    </xf>
    <xf numFmtId="164" fontId="5" fillId="2" borderId="16" xfId="1" applyNumberFormat="1" applyFont="1" applyFill="1" applyBorder="1" applyAlignment="1">
      <alignment horizontal="center"/>
    </xf>
    <xf numFmtId="164" fontId="5" fillId="2" borderId="13" xfId="1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wrapText="1"/>
    </xf>
    <xf numFmtId="164" fontId="5" fillId="2" borderId="9" xfId="1" applyNumberFormat="1" applyFont="1" applyFill="1" applyBorder="1" applyAlignment="1">
      <alignment horizontal="center"/>
    </xf>
    <xf numFmtId="164" fontId="5" fillId="0" borderId="13" xfId="1" applyNumberFormat="1" applyFont="1" applyFill="1" applyBorder="1" applyAlignment="1"/>
    <xf numFmtId="0" fontId="5" fillId="0" borderId="6" xfId="0" applyFont="1" applyBorder="1"/>
    <xf numFmtId="164" fontId="5" fillId="2" borderId="16" xfId="1" applyNumberFormat="1" applyFont="1" applyFill="1" applyBorder="1" applyAlignment="1"/>
    <xf numFmtId="0" fontId="4" fillId="0" borderId="2" xfId="0" applyFont="1" applyBorder="1" applyAlignment="1">
      <alignment horizontal="center" wrapText="1"/>
    </xf>
    <xf numFmtId="164" fontId="3" fillId="0" borderId="7" xfId="1" applyNumberFormat="1" applyFont="1" applyBorder="1" applyAlignment="1">
      <alignment vertical="center" wrapText="1"/>
    </xf>
    <xf numFmtId="164" fontId="5" fillId="2" borderId="12" xfId="1" applyNumberFormat="1" applyFont="1" applyFill="1" applyBorder="1" applyAlignment="1"/>
    <xf numFmtId="0" fontId="6" fillId="2" borderId="0" xfId="0" applyFont="1" applyFill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4" fillId="2" borderId="9" xfId="1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164" fontId="4" fillId="2" borderId="2" xfId="1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4" fontId="3" fillId="2" borderId="16" xfId="1" applyNumberFormat="1" applyFont="1" applyFill="1" applyBorder="1" applyAlignment="1">
      <alignment vertical="center" wrapText="1"/>
    </xf>
    <xf numFmtId="164" fontId="4" fillId="0" borderId="9" xfId="1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4" fillId="0" borderId="4" xfId="0" applyFont="1" applyBorder="1" applyAlignment="1">
      <alignment vertical="center" wrapText="1"/>
    </xf>
    <xf numFmtId="0" fontId="6" fillId="0" borderId="9" xfId="0" applyFont="1" applyBorder="1" applyAlignment="1">
      <alignment horizontal="center" wrapText="1"/>
    </xf>
    <xf numFmtId="164" fontId="6" fillId="0" borderId="9" xfId="1" applyNumberFormat="1" applyFont="1" applyFill="1" applyBorder="1" applyAlignment="1">
      <alignment horizontal="center"/>
    </xf>
    <xf numFmtId="164" fontId="4" fillId="3" borderId="9" xfId="1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wrapText="1"/>
    </xf>
    <xf numFmtId="164" fontId="4" fillId="2" borderId="10" xfId="1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164" fontId="5" fillId="2" borderId="11" xfId="1" applyNumberFormat="1" applyFont="1" applyFill="1" applyBorder="1" applyAlignment="1">
      <alignment horizontal="center"/>
    </xf>
    <xf numFmtId="0" fontId="6" fillId="3" borderId="9" xfId="0" applyFont="1" applyFill="1" applyBorder="1"/>
    <xf numFmtId="164" fontId="3" fillId="3" borderId="9" xfId="1" applyNumberFormat="1" applyFont="1" applyFill="1" applyBorder="1" applyAlignment="1"/>
    <xf numFmtId="164" fontId="5" fillId="3" borderId="16" xfId="1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164" fontId="5" fillId="3" borderId="13" xfId="1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0" fontId="6" fillId="2" borderId="5" xfId="0" applyFont="1" applyFill="1" applyBorder="1" applyAlignment="1">
      <alignment horizontal="center"/>
    </xf>
    <xf numFmtId="164" fontId="5" fillId="2" borderId="17" xfId="1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" xfId="0" applyFont="1" applyFill="1" applyBorder="1" applyAlignment="1">
      <alignment wrapText="1"/>
    </xf>
    <xf numFmtId="0" fontId="6" fillId="3" borderId="2" xfId="0" applyFont="1" applyFill="1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164" fontId="5" fillId="2" borderId="18" xfId="1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6"/>
  <sheetViews>
    <sheetView tabSelected="1" zoomScale="90" zoomScaleNormal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7" sqref="I7"/>
    </sheetView>
  </sheetViews>
  <sheetFormatPr defaultColWidth="9.140625" defaultRowHeight="15" x14ac:dyDescent="0.25"/>
  <cols>
    <col min="1" max="1" width="6.85546875" style="1" customWidth="1"/>
    <col min="2" max="2" width="26.7109375" style="1" customWidth="1"/>
    <col min="3" max="3" width="15.85546875" style="19" customWidth="1"/>
    <col min="4" max="4" width="17" style="1" customWidth="1"/>
    <col min="5" max="5" width="16" style="67" customWidth="1"/>
    <col min="6" max="6" width="13.85546875" style="8" customWidth="1"/>
    <col min="7" max="7" width="16.85546875" style="67" customWidth="1"/>
    <col min="8" max="8" width="11.28515625" style="1" bestFit="1" customWidth="1"/>
    <col min="9" max="16384" width="9.140625" style="1"/>
  </cols>
  <sheetData>
    <row r="1" spans="1:7" ht="20.25" x14ac:dyDescent="0.3">
      <c r="B1" s="108" t="s">
        <v>13</v>
      </c>
      <c r="C1" s="108"/>
      <c r="D1" s="108"/>
      <c r="E1" s="108"/>
      <c r="F1" s="108"/>
      <c r="G1" s="108"/>
    </row>
    <row r="2" spans="1:7" ht="17.25" customHeight="1" x14ac:dyDescent="0.25"/>
    <row r="3" spans="1:7" ht="24" customHeight="1" x14ac:dyDescent="0.25">
      <c r="A3" s="102" t="s">
        <v>5</v>
      </c>
      <c r="B3" s="104" t="s">
        <v>6</v>
      </c>
      <c r="C3" s="104" t="s">
        <v>3</v>
      </c>
      <c r="D3" s="102" t="s">
        <v>60</v>
      </c>
      <c r="E3" s="109" t="s">
        <v>7</v>
      </c>
      <c r="F3" s="102" t="s">
        <v>61</v>
      </c>
      <c r="G3" s="109" t="s">
        <v>7</v>
      </c>
    </row>
    <row r="4" spans="1:7" ht="22.5" customHeight="1" x14ac:dyDescent="0.25">
      <c r="A4" s="103"/>
      <c r="B4" s="103"/>
      <c r="C4" s="105"/>
      <c r="D4" s="103"/>
      <c r="E4" s="110"/>
      <c r="F4" s="103"/>
      <c r="G4" s="110"/>
    </row>
    <row r="5" spans="1:7" ht="36.75" customHeight="1" x14ac:dyDescent="0.25">
      <c r="A5" s="107"/>
      <c r="B5" s="107"/>
      <c r="C5" s="106"/>
      <c r="D5" s="107"/>
      <c r="E5" s="111"/>
      <c r="F5" s="107"/>
      <c r="G5" s="111"/>
    </row>
    <row r="6" spans="1:7" ht="20.25" customHeight="1" x14ac:dyDescent="0.25">
      <c r="A6" s="102" t="s">
        <v>2</v>
      </c>
      <c r="B6" s="18" t="s">
        <v>11</v>
      </c>
      <c r="C6" s="49" t="s">
        <v>49</v>
      </c>
      <c r="D6" s="24">
        <v>9531480</v>
      </c>
      <c r="E6" s="78" t="s">
        <v>9</v>
      </c>
      <c r="F6" s="58" t="s">
        <v>16</v>
      </c>
      <c r="G6" s="70"/>
    </row>
    <row r="7" spans="1:7" ht="24" customHeight="1" x14ac:dyDescent="0.25">
      <c r="A7" s="103"/>
      <c r="B7" s="18" t="s">
        <v>27</v>
      </c>
      <c r="C7" s="49" t="s">
        <v>50</v>
      </c>
      <c r="D7" s="24">
        <v>41658617</v>
      </c>
      <c r="E7" s="72" t="s">
        <v>8</v>
      </c>
      <c r="F7" s="37">
        <v>9820610</v>
      </c>
      <c r="G7" s="84" t="s">
        <v>9</v>
      </c>
    </row>
    <row r="8" spans="1:7" ht="29.25" customHeight="1" x14ac:dyDescent="0.25">
      <c r="A8" s="103"/>
      <c r="B8" s="18" t="s">
        <v>11</v>
      </c>
      <c r="C8" s="49" t="s">
        <v>51</v>
      </c>
      <c r="D8" s="15">
        <v>9122710</v>
      </c>
      <c r="E8" s="84" t="s">
        <v>9</v>
      </c>
      <c r="F8" s="58" t="s">
        <v>16</v>
      </c>
      <c r="G8" s="78"/>
    </row>
    <row r="9" spans="1:7" ht="24.75" customHeight="1" x14ac:dyDescent="0.25">
      <c r="A9" s="103"/>
      <c r="B9" s="18" t="s">
        <v>33</v>
      </c>
      <c r="C9" s="49" t="s">
        <v>52</v>
      </c>
      <c r="D9" s="24">
        <v>11682336</v>
      </c>
      <c r="E9" s="86" t="s">
        <v>8</v>
      </c>
      <c r="F9" s="20">
        <v>9451720</v>
      </c>
      <c r="G9" s="89" t="s">
        <v>9</v>
      </c>
    </row>
    <row r="10" spans="1:7" ht="24.75" customHeight="1" x14ac:dyDescent="0.25">
      <c r="A10" s="103"/>
      <c r="B10" s="18" t="s">
        <v>35</v>
      </c>
      <c r="C10" s="49" t="s">
        <v>53</v>
      </c>
      <c r="D10" s="15">
        <v>9860490</v>
      </c>
      <c r="E10" s="84" t="s">
        <v>9</v>
      </c>
      <c r="F10" s="20">
        <v>8845508</v>
      </c>
      <c r="G10" s="84" t="s">
        <v>37</v>
      </c>
    </row>
    <row r="11" spans="1:7" ht="24.75" customHeight="1" x14ac:dyDescent="0.25">
      <c r="A11" s="103"/>
      <c r="B11" s="18" t="s">
        <v>38</v>
      </c>
      <c r="C11" s="49" t="s">
        <v>54</v>
      </c>
      <c r="D11" s="40">
        <f>7331240+4000000</f>
        <v>11331240</v>
      </c>
      <c r="E11" s="84" t="s">
        <v>39</v>
      </c>
      <c r="F11" s="58" t="s">
        <v>16</v>
      </c>
      <c r="G11" s="72"/>
    </row>
    <row r="12" spans="1:7" s="47" customFormat="1" ht="24.75" customHeight="1" x14ac:dyDescent="0.25">
      <c r="A12" s="103"/>
      <c r="B12" s="97" t="s">
        <v>29</v>
      </c>
      <c r="C12" s="49" t="s">
        <v>55</v>
      </c>
      <c r="D12" s="98">
        <v>41024305</v>
      </c>
      <c r="E12" s="94" t="s">
        <v>8</v>
      </c>
      <c r="F12" s="99">
        <v>10291850</v>
      </c>
      <c r="G12" s="100" t="s">
        <v>9</v>
      </c>
    </row>
    <row r="13" spans="1:7" s="47" customFormat="1" ht="24.75" customHeight="1" x14ac:dyDescent="0.25">
      <c r="A13" s="103"/>
      <c r="B13" s="97" t="s">
        <v>11</v>
      </c>
      <c r="C13" s="49" t="s">
        <v>56</v>
      </c>
      <c r="D13" s="98">
        <v>7000000</v>
      </c>
      <c r="E13" s="100" t="s">
        <v>9</v>
      </c>
      <c r="F13" s="101" t="s">
        <v>16</v>
      </c>
      <c r="G13" s="94"/>
    </row>
    <row r="14" spans="1:7" s="47" customFormat="1" ht="24.75" customHeight="1" x14ac:dyDescent="0.25">
      <c r="A14" s="103"/>
      <c r="B14" s="97" t="s">
        <v>46</v>
      </c>
      <c r="C14" s="49" t="s">
        <v>57</v>
      </c>
      <c r="D14" s="101" t="s">
        <v>16</v>
      </c>
      <c r="E14" s="94"/>
      <c r="F14" s="99">
        <v>8331267</v>
      </c>
      <c r="G14" s="100" t="s">
        <v>9</v>
      </c>
    </row>
    <row r="15" spans="1:7" ht="24.75" customHeight="1" x14ac:dyDescent="0.25">
      <c r="A15" s="103"/>
      <c r="B15" s="18" t="s">
        <v>35</v>
      </c>
      <c r="C15" s="49" t="s">
        <v>58</v>
      </c>
      <c r="D15" s="60">
        <v>7000000</v>
      </c>
      <c r="E15" s="73" t="s">
        <v>9</v>
      </c>
      <c r="F15" s="57"/>
      <c r="G15" s="94" t="s">
        <v>31</v>
      </c>
    </row>
    <row r="16" spans="1:7" ht="24.75" customHeight="1" x14ac:dyDescent="0.25">
      <c r="A16" s="103"/>
      <c r="B16" s="18" t="s">
        <v>47</v>
      </c>
      <c r="C16" s="49" t="s">
        <v>59</v>
      </c>
      <c r="D16" s="21"/>
      <c r="E16" s="94" t="s">
        <v>39</v>
      </c>
      <c r="F16" s="58" t="s">
        <v>16</v>
      </c>
      <c r="G16" s="72"/>
    </row>
    <row r="17" spans="1:7" ht="24.75" customHeight="1" x14ac:dyDescent="0.25">
      <c r="A17" s="107"/>
      <c r="B17" s="18"/>
      <c r="C17" s="49"/>
      <c r="D17" s="40"/>
      <c r="E17" s="70"/>
      <c r="F17" s="20"/>
      <c r="G17" s="72"/>
    </row>
    <row r="18" spans="1:7" ht="24.75" customHeight="1" x14ac:dyDescent="0.25">
      <c r="A18" s="102" t="s">
        <v>0</v>
      </c>
      <c r="B18" s="13" t="s">
        <v>11</v>
      </c>
      <c r="C18" s="50" t="s">
        <v>49</v>
      </c>
      <c r="D18" s="46">
        <v>57146836</v>
      </c>
      <c r="E18" s="71" t="s">
        <v>9</v>
      </c>
      <c r="F18" s="96" t="s">
        <v>16</v>
      </c>
      <c r="G18" s="79"/>
    </row>
    <row r="19" spans="1:7" ht="24.75" customHeight="1" x14ac:dyDescent="0.25">
      <c r="A19" s="103"/>
      <c r="B19" s="18" t="s">
        <v>20</v>
      </c>
      <c r="C19" s="50" t="s">
        <v>50</v>
      </c>
      <c r="D19" s="40">
        <v>44012220</v>
      </c>
      <c r="E19" s="72" t="s">
        <v>8</v>
      </c>
      <c r="F19" s="20">
        <v>32791040</v>
      </c>
      <c r="G19" s="73" t="s">
        <v>21</v>
      </c>
    </row>
    <row r="20" spans="1:7" ht="24.75" customHeight="1" x14ac:dyDescent="0.25">
      <c r="A20" s="103"/>
      <c r="B20" s="12" t="s">
        <v>22</v>
      </c>
      <c r="C20" s="50" t="s">
        <v>51</v>
      </c>
      <c r="D20" s="40">
        <v>43024312</v>
      </c>
      <c r="E20" s="69" t="s">
        <v>23</v>
      </c>
      <c r="F20" s="58" t="s">
        <v>16</v>
      </c>
      <c r="G20" s="69"/>
    </row>
    <row r="21" spans="1:7" ht="24.75" customHeight="1" x14ac:dyDescent="0.25">
      <c r="A21" s="103"/>
      <c r="B21" s="18" t="s">
        <v>29</v>
      </c>
      <c r="C21" s="50" t="s">
        <v>52</v>
      </c>
      <c r="D21" s="26">
        <v>43593515</v>
      </c>
      <c r="E21" s="86" t="s">
        <v>8</v>
      </c>
      <c r="F21" s="26">
        <v>36923510</v>
      </c>
      <c r="G21" s="84" t="s">
        <v>9</v>
      </c>
    </row>
    <row r="22" spans="1:7" ht="24.75" customHeight="1" x14ac:dyDescent="0.25">
      <c r="A22" s="103"/>
      <c r="B22" s="12" t="s">
        <v>11</v>
      </c>
      <c r="C22" s="50" t="s">
        <v>53</v>
      </c>
      <c r="D22" s="26">
        <v>56025556</v>
      </c>
      <c r="E22" s="73" t="s">
        <v>9</v>
      </c>
      <c r="F22" s="58" t="s">
        <v>16</v>
      </c>
      <c r="G22" s="73"/>
    </row>
    <row r="23" spans="1:7" ht="24.75" customHeight="1" x14ac:dyDescent="0.25">
      <c r="A23" s="103"/>
      <c r="B23" s="18" t="s">
        <v>36</v>
      </c>
      <c r="C23" s="50" t="s">
        <v>54</v>
      </c>
      <c r="D23" s="38">
        <v>43126475</v>
      </c>
      <c r="E23" s="72" t="s">
        <v>8</v>
      </c>
      <c r="F23" s="26">
        <v>21699456</v>
      </c>
      <c r="G23" s="73" t="s">
        <v>9</v>
      </c>
    </row>
    <row r="24" spans="1:7" ht="24.75" customHeight="1" x14ac:dyDescent="0.25">
      <c r="A24" s="103"/>
      <c r="B24" s="12" t="s">
        <v>11</v>
      </c>
      <c r="C24" s="50" t="s">
        <v>55</v>
      </c>
      <c r="D24" s="45">
        <v>56448916</v>
      </c>
      <c r="E24" s="84" t="s">
        <v>9</v>
      </c>
      <c r="F24" s="58" t="s">
        <v>16</v>
      </c>
      <c r="G24" s="68"/>
    </row>
    <row r="25" spans="1:7" ht="24.75" customHeight="1" x14ac:dyDescent="0.25">
      <c r="A25" s="103"/>
      <c r="B25" s="18" t="s">
        <v>29</v>
      </c>
      <c r="C25" s="50" t="s">
        <v>56</v>
      </c>
      <c r="D25" s="45">
        <v>41383529</v>
      </c>
      <c r="E25" s="86" t="s">
        <v>8</v>
      </c>
      <c r="F25" s="57">
        <v>15968838</v>
      </c>
      <c r="G25" s="73" t="s">
        <v>9</v>
      </c>
    </row>
    <row r="26" spans="1:7" ht="24.75" customHeight="1" x14ac:dyDescent="0.25">
      <c r="A26" s="103"/>
      <c r="B26" s="12" t="s">
        <v>48</v>
      </c>
      <c r="C26" s="50" t="s">
        <v>57</v>
      </c>
      <c r="D26" s="45">
        <v>50353338</v>
      </c>
      <c r="E26" s="73" t="s">
        <v>9</v>
      </c>
      <c r="F26" s="58" t="s">
        <v>16</v>
      </c>
      <c r="G26" s="68"/>
    </row>
    <row r="27" spans="1:7" ht="24.75" customHeight="1" x14ac:dyDescent="0.25">
      <c r="A27" s="103"/>
      <c r="B27" s="16" t="s">
        <v>38</v>
      </c>
      <c r="C27" s="50" t="s">
        <v>58</v>
      </c>
      <c r="D27" s="45"/>
      <c r="E27" s="94" t="s">
        <v>39</v>
      </c>
      <c r="F27" s="57"/>
      <c r="G27" s="68"/>
    </row>
    <row r="28" spans="1:7" ht="25.5" customHeight="1" x14ac:dyDescent="0.25">
      <c r="A28" s="107"/>
      <c r="B28" s="16"/>
      <c r="C28" s="52"/>
      <c r="D28" s="10"/>
      <c r="E28" s="74"/>
      <c r="F28" s="22"/>
      <c r="G28" s="74"/>
    </row>
    <row r="29" spans="1:7" ht="39" customHeight="1" x14ac:dyDescent="0.25">
      <c r="A29" s="102" t="s">
        <v>4</v>
      </c>
      <c r="B29" s="13" t="s">
        <v>17</v>
      </c>
      <c r="C29" s="53" t="s">
        <v>49</v>
      </c>
      <c r="D29" s="26">
        <v>44773738</v>
      </c>
      <c r="E29" s="68" t="s">
        <v>8</v>
      </c>
      <c r="F29" s="58">
        <v>35337690</v>
      </c>
      <c r="G29" s="77" t="s">
        <v>10</v>
      </c>
    </row>
    <row r="30" spans="1:7" ht="23.25" customHeight="1" x14ac:dyDescent="0.25">
      <c r="A30" s="103"/>
      <c r="B30" s="16" t="s">
        <v>11</v>
      </c>
      <c r="C30" s="53" t="s">
        <v>50</v>
      </c>
      <c r="D30" s="39">
        <v>55058278</v>
      </c>
      <c r="E30" s="77" t="s">
        <v>10</v>
      </c>
      <c r="F30" s="58" t="s">
        <v>16</v>
      </c>
      <c r="G30" s="69"/>
    </row>
    <row r="31" spans="1:7" ht="20.100000000000001" customHeight="1" x14ac:dyDescent="0.25">
      <c r="A31" s="103"/>
      <c r="B31" s="12" t="s">
        <v>17</v>
      </c>
      <c r="C31" s="53" t="s">
        <v>51</v>
      </c>
      <c r="D31" s="41">
        <v>44454445</v>
      </c>
      <c r="E31" s="68" t="s">
        <v>8</v>
      </c>
      <c r="F31" s="26">
        <v>38432391</v>
      </c>
      <c r="G31" s="83" t="s">
        <v>9</v>
      </c>
    </row>
    <row r="32" spans="1:7" ht="20.100000000000001" customHeight="1" x14ac:dyDescent="0.25">
      <c r="A32" s="103"/>
      <c r="B32" s="16" t="s">
        <v>28</v>
      </c>
      <c r="C32" s="53" t="s">
        <v>52</v>
      </c>
      <c r="D32" s="41">
        <v>56147548</v>
      </c>
      <c r="E32" s="87" t="s">
        <v>9</v>
      </c>
      <c r="F32" s="26">
        <v>27619385</v>
      </c>
      <c r="G32" s="51" t="s">
        <v>31</v>
      </c>
    </row>
    <row r="33" spans="1:7" s="9" customFormat="1" ht="20.100000000000001" customHeight="1" x14ac:dyDescent="0.25">
      <c r="A33" s="103"/>
      <c r="B33" s="59" t="s">
        <v>19</v>
      </c>
      <c r="C33" s="53" t="s">
        <v>53</v>
      </c>
      <c r="D33" s="58">
        <v>11979485</v>
      </c>
      <c r="E33" s="68" t="s">
        <v>8</v>
      </c>
      <c r="F33" s="61"/>
      <c r="G33" s="49"/>
    </row>
    <row r="34" spans="1:7" ht="20.100000000000001" customHeight="1" x14ac:dyDescent="0.25">
      <c r="A34" s="103"/>
      <c r="B34" s="59" t="s">
        <v>34</v>
      </c>
      <c r="C34" s="53" t="s">
        <v>54</v>
      </c>
      <c r="D34" s="58">
        <v>42947980</v>
      </c>
      <c r="E34" s="68" t="s">
        <v>8</v>
      </c>
      <c r="F34" s="56">
        <v>35108518</v>
      </c>
      <c r="G34" s="77" t="s">
        <v>9</v>
      </c>
    </row>
    <row r="35" spans="1:7" ht="20.100000000000001" customHeight="1" x14ac:dyDescent="0.25">
      <c r="A35" s="103"/>
      <c r="B35" s="16" t="s">
        <v>11</v>
      </c>
      <c r="C35" s="53" t="s">
        <v>55</v>
      </c>
      <c r="D35" s="26">
        <v>54802633</v>
      </c>
      <c r="E35" s="77" t="s">
        <v>9</v>
      </c>
      <c r="F35" s="58" t="s">
        <v>16</v>
      </c>
      <c r="G35" s="70"/>
    </row>
    <row r="36" spans="1:7" ht="20.100000000000001" customHeight="1" x14ac:dyDescent="0.25">
      <c r="A36" s="103"/>
      <c r="B36" s="16" t="s">
        <v>40</v>
      </c>
      <c r="C36" s="53" t="s">
        <v>56</v>
      </c>
      <c r="D36" s="58" t="s">
        <v>16</v>
      </c>
      <c r="E36" s="90"/>
      <c r="F36" s="58">
        <v>37347457</v>
      </c>
      <c r="G36" s="77" t="s">
        <v>9</v>
      </c>
    </row>
    <row r="37" spans="1:7" ht="20.100000000000001" customHeight="1" x14ac:dyDescent="0.25">
      <c r="A37" s="103"/>
      <c r="B37" s="16" t="s">
        <v>11</v>
      </c>
      <c r="C37" s="53" t="s">
        <v>57</v>
      </c>
      <c r="D37" s="26">
        <v>54487716</v>
      </c>
      <c r="E37" s="77" t="s">
        <v>9</v>
      </c>
      <c r="F37" s="58" t="s">
        <v>16</v>
      </c>
      <c r="G37" s="77"/>
    </row>
    <row r="38" spans="1:7" ht="20.100000000000001" customHeight="1" x14ac:dyDescent="0.25">
      <c r="A38" s="103"/>
      <c r="B38" s="12" t="s">
        <v>17</v>
      </c>
      <c r="C38" s="53" t="s">
        <v>58</v>
      </c>
      <c r="D38" s="63">
        <v>38929631</v>
      </c>
      <c r="E38" s="92" t="s">
        <v>8</v>
      </c>
      <c r="F38" s="57">
        <v>36710762</v>
      </c>
      <c r="G38" s="77" t="s">
        <v>9</v>
      </c>
    </row>
    <row r="39" spans="1:7" ht="20.100000000000001" customHeight="1" x14ac:dyDescent="0.25">
      <c r="A39" s="103"/>
      <c r="B39" s="16" t="s">
        <v>11</v>
      </c>
      <c r="C39" s="53" t="s">
        <v>59</v>
      </c>
      <c r="D39" s="63">
        <v>49919486</v>
      </c>
      <c r="E39" s="77" t="s">
        <v>9</v>
      </c>
      <c r="F39" s="58" t="s">
        <v>16</v>
      </c>
      <c r="G39" s="77"/>
    </row>
    <row r="40" spans="1:7" ht="20.100000000000001" customHeight="1" x14ac:dyDescent="0.25">
      <c r="A40" s="103"/>
      <c r="B40" s="12" t="s">
        <v>17</v>
      </c>
      <c r="C40" s="53" t="s">
        <v>62</v>
      </c>
      <c r="D40" s="63"/>
      <c r="E40" s="92" t="s">
        <v>8</v>
      </c>
      <c r="F40" s="57"/>
      <c r="G40" s="88" t="s">
        <v>9</v>
      </c>
    </row>
    <row r="41" spans="1:7" ht="27" customHeight="1" x14ac:dyDescent="0.25">
      <c r="A41" s="107"/>
      <c r="B41" s="16"/>
      <c r="C41" s="54"/>
      <c r="D41" s="63"/>
      <c r="E41" s="77"/>
      <c r="F41" s="57"/>
      <c r="G41" s="70"/>
    </row>
    <row r="42" spans="1:7" ht="38.25" customHeight="1" x14ac:dyDescent="0.25">
      <c r="A42" s="102" t="s">
        <v>12</v>
      </c>
      <c r="B42" s="13" t="s">
        <v>14</v>
      </c>
      <c r="C42" s="64" t="s">
        <v>49</v>
      </c>
      <c r="D42" s="66">
        <v>51613525</v>
      </c>
      <c r="E42" s="80" t="s">
        <v>15</v>
      </c>
      <c r="F42" s="96" t="s">
        <v>16</v>
      </c>
      <c r="G42" s="71"/>
    </row>
    <row r="43" spans="1:7" ht="20.100000000000001" customHeight="1" x14ac:dyDescent="0.25">
      <c r="A43" s="103"/>
      <c r="B43" s="12" t="s">
        <v>18</v>
      </c>
      <c r="C43" s="64" t="s">
        <v>50</v>
      </c>
      <c r="D43" s="58" t="s">
        <v>16</v>
      </c>
      <c r="E43" s="77"/>
      <c r="F43" s="58">
        <v>64837024</v>
      </c>
      <c r="G43" s="51" t="s">
        <v>21</v>
      </c>
    </row>
    <row r="44" spans="1:7" ht="39" customHeight="1" x14ac:dyDescent="0.25">
      <c r="A44" s="103"/>
      <c r="B44" s="12" t="s">
        <v>25</v>
      </c>
      <c r="C44" s="64" t="s">
        <v>51</v>
      </c>
      <c r="D44" s="26">
        <v>49732588</v>
      </c>
      <c r="E44" s="51" t="s">
        <v>21</v>
      </c>
      <c r="F44" s="58">
        <v>83786824</v>
      </c>
      <c r="G44" s="69" t="s">
        <v>26</v>
      </c>
    </row>
    <row r="45" spans="1:7" ht="27.75" customHeight="1" x14ac:dyDescent="0.25">
      <c r="A45" s="103"/>
      <c r="B45" s="59" t="s">
        <v>32</v>
      </c>
      <c r="C45" s="64" t="s">
        <v>52</v>
      </c>
      <c r="D45" s="58" t="s">
        <v>16</v>
      </c>
      <c r="E45" s="51"/>
      <c r="F45" s="58">
        <v>46981024</v>
      </c>
      <c r="G45" s="69" t="s">
        <v>21</v>
      </c>
    </row>
    <row r="46" spans="1:7" ht="27.75" customHeight="1" x14ac:dyDescent="0.25">
      <c r="A46" s="103"/>
      <c r="B46" s="59" t="s">
        <v>20</v>
      </c>
      <c r="C46" s="64" t="s">
        <v>53</v>
      </c>
      <c r="D46" s="58">
        <v>48961216</v>
      </c>
      <c r="E46" s="69" t="s">
        <v>8</v>
      </c>
      <c r="F46" s="58">
        <v>42134076</v>
      </c>
      <c r="G46" s="69" t="s">
        <v>21</v>
      </c>
    </row>
    <row r="47" spans="1:7" ht="27.75" customHeight="1" x14ac:dyDescent="0.25">
      <c r="A47" s="103"/>
      <c r="B47" s="59" t="s">
        <v>43</v>
      </c>
      <c r="C47" s="64" t="s">
        <v>54</v>
      </c>
      <c r="D47" s="58">
        <v>42652089</v>
      </c>
      <c r="E47" s="69" t="s">
        <v>21</v>
      </c>
      <c r="F47" s="57">
        <v>37297152</v>
      </c>
      <c r="G47" s="70" t="s">
        <v>31</v>
      </c>
    </row>
    <row r="48" spans="1:7" ht="36" customHeight="1" x14ac:dyDescent="0.25">
      <c r="A48" s="103"/>
      <c r="B48" s="59" t="s">
        <v>44</v>
      </c>
      <c r="C48" s="64" t="s">
        <v>55</v>
      </c>
      <c r="D48" s="58">
        <f>64699340+11000000</f>
        <v>75699340</v>
      </c>
      <c r="E48" s="84" t="s">
        <v>39</v>
      </c>
      <c r="F48" s="58" t="s">
        <v>16</v>
      </c>
      <c r="G48" s="70"/>
    </row>
    <row r="49" spans="1:8" ht="27.75" customHeight="1" x14ac:dyDescent="0.25">
      <c r="A49" s="103"/>
      <c r="B49" s="59" t="s">
        <v>29</v>
      </c>
      <c r="C49" s="64" t="s">
        <v>56</v>
      </c>
      <c r="D49" s="58">
        <v>41116877</v>
      </c>
      <c r="E49" s="51" t="s">
        <v>8</v>
      </c>
      <c r="F49" s="58">
        <v>44449173</v>
      </c>
      <c r="G49" s="77" t="s">
        <v>9</v>
      </c>
    </row>
    <row r="50" spans="1:8" ht="27.75" customHeight="1" x14ac:dyDescent="0.25">
      <c r="A50" s="103"/>
      <c r="B50" s="59" t="s">
        <v>29</v>
      </c>
      <c r="C50" s="64" t="s">
        <v>57</v>
      </c>
      <c r="D50" s="58"/>
      <c r="E50" s="93" t="s">
        <v>8</v>
      </c>
      <c r="F50" s="58"/>
      <c r="G50" s="88" t="s">
        <v>9</v>
      </c>
    </row>
    <row r="51" spans="1:8" ht="27.75" customHeight="1" x14ac:dyDescent="0.25">
      <c r="A51" s="103"/>
      <c r="B51" s="59" t="s">
        <v>29</v>
      </c>
      <c r="C51" s="64" t="s">
        <v>58</v>
      </c>
      <c r="D51" s="58"/>
      <c r="E51" s="93" t="s">
        <v>8</v>
      </c>
      <c r="F51" s="58"/>
      <c r="G51" s="77"/>
    </row>
    <row r="52" spans="1:8" ht="26.25" customHeight="1" x14ac:dyDescent="0.25">
      <c r="A52" s="107"/>
      <c r="B52" s="12"/>
      <c r="C52" s="53"/>
      <c r="D52" s="3"/>
      <c r="E52" s="69"/>
      <c r="F52" s="11"/>
      <c r="G52" s="77"/>
    </row>
    <row r="53" spans="1:8" ht="26.25" customHeight="1" x14ac:dyDescent="0.25">
      <c r="A53" s="102" t="s">
        <v>1</v>
      </c>
      <c r="B53" s="116" t="s">
        <v>20</v>
      </c>
      <c r="C53" s="48" t="s">
        <v>49</v>
      </c>
      <c r="D53" s="66">
        <v>38929631</v>
      </c>
      <c r="E53" s="117" t="s">
        <v>8</v>
      </c>
      <c r="F53" s="96" t="s">
        <v>16</v>
      </c>
      <c r="G53" s="71"/>
    </row>
    <row r="54" spans="1:8" ht="36" customHeight="1" x14ac:dyDescent="0.25">
      <c r="A54" s="103"/>
      <c r="B54" s="36" t="s">
        <v>11</v>
      </c>
      <c r="C54" s="48" t="s">
        <v>50</v>
      </c>
      <c r="D54" s="65">
        <v>68550556</v>
      </c>
      <c r="E54" s="81" t="s">
        <v>9</v>
      </c>
      <c r="F54" s="96" t="s">
        <v>16</v>
      </c>
      <c r="G54" s="71"/>
    </row>
    <row r="55" spans="1:8" ht="22.5" customHeight="1" x14ac:dyDescent="0.25">
      <c r="A55" s="103"/>
      <c r="B55" s="42" t="s">
        <v>19</v>
      </c>
      <c r="C55" s="48" t="s">
        <v>51</v>
      </c>
      <c r="D55" s="58" t="s">
        <v>16</v>
      </c>
      <c r="E55" s="72"/>
      <c r="F55" s="82">
        <v>34226090</v>
      </c>
      <c r="G55" s="69" t="s">
        <v>9</v>
      </c>
    </row>
    <row r="56" spans="1:8" ht="30.75" customHeight="1" x14ac:dyDescent="0.25">
      <c r="A56" s="103"/>
      <c r="B56" s="42" t="s">
        <v>24</v>
      </c>
      <c r="C56" s="48" t="s">
        <v>52</v>
      </c>
      <c r="D56" s="26">
        <v>42729942</v>
      </c>
      <c r="E56" s="51" t="s">
        <v>9</v>
      </c>
      <c r="F56" s="58" t="s">
        <v>16</v>
      </c>
      <c r="G56" s="69"/>
    </row>
    <row r="57" spans="1:8" ht="20.100000000000001" customHeight="1" x14ac:dyDescent="0.25">
      <c r="A57" s="103"/>
      <c r="B57" s="16" t="s">
        <v>29</v>
      </c>
      <c r="C57" s="48" t="s">
        <v>53</v>
      </c>
      <c r="D57" s="26">
        <v>44749011</v>
      </c>
      <c r="E57" s="75" t="s">
        <v>8</v>
      </c>
      <c r="F57" s="20">
        <v>41789104</v>
      </c>
      <c r="G57" s="51" t="s">
        <v>9</v>
      </c>
    </row>
    <row r="58" spans="1:8" ht="21" customHeight="1" x14ac:dyDescent="0.25">
      <c r="A58" s="103"/>
      <c r="B58" s="85" t="s">
        <v>30</v>
      </c>
      <c r="C58" s="48" t="s">
        <v>54</v>
      </c>
      <c r="D58" s="26">
        <v>57467488</v>
      </c>
      <c r="E58" s="51" t="s">
        <v>9</v>
      </c>
      <c r="F58" s="20">
        <v>28954971</v>
      </c>
      <c r="G58" s="69" t="s">
        <v>31</v>
      </c>
      <c r="H58" s="6"/>
    </row>
    <row r="59" spans="1:8" ht="21" customHeight="1" x14ac:dyDescent="0.25">
      <c r="A59" s="103"/>
      <c r="B59" s="42" t="s">
        <v>41</v>
      </c>
      <c r="C59" s="48" t="s">
        <v>55</v>
      </c>
      <c r="D59" s="58" t="s">
        <v>16</v>
      </c>
      <c r="E59" s="75"/>
      <c r="F59" s="58" t="s">
        <v>16</v>
      </c>
      <c r="G59" s="77"/>
    </row>
    <row r="60" spans="1:8" ht="21" customHeight="1" x14ac:dyDescent="0.25">
      <c r="A60" s="103"/>
      <c r="B60" s="91" t="s">
        <v>42</v>
      </c>
      <c r="C60" s="48" t="s">
        <v>56</v>
      </c>
      <c r="D60" s="21">
        <v>43325404</v>
      </c>
      <c r="E60" s="69" t="s">
        <v>21</v>
      </c>
      <c r="F60" s="58" t="s">
        <v>16</v>
      </c>
      <c r="G60" s="77"/>
    </row>
    <row r="61" spans="1:8" ht="21" customHeight="1" x14ac:dyDescent="0.25">
      <c r="A61" s="103"/>
      <c r="B61" s="16" t="s">
        <v>20</v>
      </c>
      <c r="C61" s="48" t="s">
        <v>57</v>
      </c>
      <c r="D61" s="63">
        <v>44608723</v>
      </c>
      <c r="E61" s="75" t="s">
        <v>8</v>
      </c>
      <c r="F61" s="20">
        <v>27997070</v>
      </c>
      <c r="G61" s="51" t="s">
        <v>21</v>
      </c>
    </row>
    <row r="62" spans="1:8" ht="33" customHeight="1" x14ac:dyDescent="0.25">
      <c r="A62" s="103"/>
      <c r="B62" s="16" t="s">
        <v>45</v>
      </c>
      <c r="C62" s="48" t="s">
        <v>58</v>
      </c>
      <c r="D62" s="63">
        <v>33300235</v>
      </c>
      <c r="E62" s="51" t="s">
        <v>9</v>
      </c>
      <c r="F62" s="58" t="s">
        <v>16</v>
      </c>
      <c r="G62" s="77"/>
    </row>
    <row r="63" spans="1:8" ht="21" customHeight="1" x14ac:dyDescent="0.25">
      <c r="A63" s="103"/>
      <c r="B63" s="16" t="s">
        <v>46</v>
      </c>
      <c r="C63" s="48" t="s">
        <v>59</v>
      </c>
      <c r="D63" s="58" t="s">
        <v>16</v>
      </c>
      <c r="E63" s="75"/>
      <c r="F63" s="20"/>
      <c r="G63" s="93" t="s">
        <v>9</v>
      </c>
    </row>
    <row r="64" spans="1:8" ht="21" customHeight="1" x14ac:dyDescent="0.25">
      <c r="A64" s="107"/>
      <c r="B64" s="118" t="s">
        <v>11</v>
      </c>
      <c r="C64" s="2" t="s">
        <v>62</v>
      </c>
      <c r="D64" s="119"/>
      <c r="E64" s="120" t="s">
        <v>9</v>
      </c>
      <c r="F64" s="119" t="s">
        <v>16</v>
      </c>
      <c r="G64" s="74"/>
    </row>
    <row r="65" spans="1:7" ht="21" customHeight="1" x14ac:dyDescent="0.25">
      <c r="A65" s="35"/>
      <c r="B65" s="112"/>
      <c r="C65" s="95"/>
      <c r="D65" s="114"/>
      <c r="E65" s="115"/>
      <c r="F65" s="27"/>
      <c r="G65" s="113"/>
    </row>
    <row r="66" spans="1:7" ht="20.100000000000001" customHeight="1" x14ac:dyDescent="0.25">
      <c r="A66" s="25"/>
      <c r="B66" s="4"/>
      <c r="C66" s="5"/>
      <c r="D66" s="4"/>
      <c r="E66" s="76"/>
      <c r="F66" s="62"/>
      <c r="G66" s="76"/>
    </row>
    <row r="68" spans="1:7" ht="17.25" customHeight="1" x14ac:dyDescent="0.25">
      <c r="B68" s="14"/>
      <c r="C68" s="55"/>
      <c r="E68" s="34"/>
      <c r="F68" s="17"/>
      <c r="G68" s="34"/>
    </row>
    <row r="69" spans="1:7" ht="18" customHeight="1" x14ac:dyDescent="0.25">
      <c r="E69" s="30"/>
      <c r="F69" s="17"/>
      <c r="G69" s="31"/>
    </row>
    <row r="70" spans="1:7" x14ac:dyDescent="0.25">
      <c r="E70" s="30"/>
      <c r="G70" s="31"/>
    </row>
    <row r="71" spans="1:7" x14ac:dyDescent="0.25">
      <c r="E71" s="30"/>
      <c r="F71" s="17"/>
      <c r="G71" s="34"/>
    </row>
    <row r="72" spans="1:7" x14ac:dyDescent="0.25">
      <c r="E72" s="30"/>
      <c r="F72" s="17"/>
    </row>
    <row r="73" spans="1:7" ht="15.75" x14ac:dyDescent="0.25">
      <c r="C73" s="43"/>
      <c r="D73" s="28"/>
      <c r="E73" s="30"/>
    </row>
    <row r="74" spans="1:7" ht="15.75" x14ac:dyDescent="0.25">
      <c r="C74" s="29"/>
      <c r="D74" s="32"/>
      <c r="E74" s="30"/>
    </row>
    <row r="75" spans="1:7" ht="15.75" x14ac:dyDescent="0.25">
      <c r="C75" s="29"/>
      <c r="D75" s="32"/>
      <c r="E75" s="30"/>
    </row>
    <row r="76" spans="1:7" ht="15.75" x14ac:dyDescent="0.25">
      <c r="C76" s="29"/>
      <c r="D76" s="32"/>
      <c r="E76" s="30"/>
    </row>
    <row r="77" spans="1:7" ht="15.75" x14ac:dyDescent="0.25">
      <c r="C77" s="29"/>
      <c r="D77" s="32"/>
      <c r="E77" s="31"/>
    </row>
    <row r="78" spans="1:7" ht="15.75" x14ac:dyDescent="0.25">
      <c r="C78" s="43"/>
      <c r="D78" s="28"/>
      <c r="E78" s="30"/>
    </row>
    <row r="79" spans="1:7" ht="15" customHeight="1" x14ac:dyDescent="0.25">
      <c r="C79" s="43"/>
      <c r="D79" s="32"/>
      <c r="E79" s="31"/>
      <c r="F79" s="17"/>
    </row>
    <row r="80" spans="1:7" ht="15" customHeight="1" x14ac:dyDescent="0.25">
      <c r="C80" s="43"/>
      <c r="D80" s="32"/>
      <c r="E80" s="31"/>
      <c r="F80" s="17"/>
    </row>
    <row r="81" spans="3:6" ht="15" customHeight="1" x14ac:dyDescent="0.25">
      <c r="C81" s="43"/>
      <c r="D81" s="32"/>
      <c r="E81" s="31"/>
      <c r="F81" s="17"/>
    </row>
    <row r="82" spans="3:6" ht="15" customHeight="1" x14ac:dyDescent="0.25">
      <c r="C82" s="43"/>
      <c r="D82" s="32"/>
      <c r="E82" s="31"/>
      <c r="F82" s="17"/>
    </row>
    <row r="83" spans="3:6" ht="15" customHeight="1" x14ac:dyDescent="0.25">
      <c r="C83" s="43"/>
      <c r="D83" s="32"/>
      <c r="E83" s="31"/>
      <c r="F83" s="17"/>
    </row>
    <row r="84" spans="3:6" ht="15.75" customHeight="1" x14ac:dyDescent="0.25">
      <c r="C84" s="43"/>
      <c r="D84" s="32"/>
      <c r="E84" s="31"/>
      <c r="F84" s="44"/>
    </row>
    <row r="85" spans="3:6" ht="15.75" x14ac:dyDescent="0.25">
      <c r="C85" s="43"/>
      <c r="D85" s="32"/>
      <c r="E85" s="31"/>
      <c r="F85" s="23"/>
    </row>
    <row r="86" spans="3:6" ht="15.75" x14ac:dyDescent="0.25">
      <c r="C86" s="43"/>
      <c r="D86" s="32"/>
      <c r="E86" s="31"/>
      <c r="F86" s="23"/>
    </row>
    <row r="87" spans="3:6" ht="15.75" x14ac:dyDescent="0.25">
      <c r="C87" s="43"/>
      <c r="D87" s="32"/>
      <c r="E87" s="31"/>
      <c r="F87" s="23"/>
    </row>
    <row r="88" spans="3:6" ht="15.75" x14ac:dyDescent="0.25">
      <c r="C88" s="43"/>
      <c r="D88" s="32"/>
      <c r="E88" s="31"/>
    </row>
    <row r="89" spans="3:6" ht="15.75" x14ac:dyDescent="0.25">
      <c r="C89" s="43"/>
      <c r="D89" s="32"/>
      <c r="E89" s="31"/>
    </row>
    <row r="90" spans="3:6" ht="15.75" x14ac:dyDescent="0.25">
      <c r="C90" s="43"/>
      <c r="D90" s="32"/>
      <c r="E90" s="31"/>
    </row>
    <row r="91" spans="3:6" ht="15.75" x14ac:dyDescent="0.25">
      <c r="C91" s="43"/>
      <c r="D91" s="32"/>
      <c r="E91" s="31"/>
    </row>
    <row r="92" spans="3:6" ht="15.75" x14ac:dyDescent="0.25">
      <c r="C92" s="43"/>
      <c r="D92" s="32"/>
      <c r="E92" s="31"/>
    </row>
    <row r="93" spans="3:6" ht="15.75" x14ac:dyDescent="0.25">
      <c r="C93" s="43"/>
      <c r="D93" s="33"/>
      <c r="E93" s="31"/>
    </row>
    <row r="94" spans="3:6" ht="15.75" x14ac:dyDescent="0.25">
      <c r="C94" s="43"/>
      <c r="D94" s="32"/>
    </row>
    <row r="95" spans="3:6" x14ac:dyDescent="0.25">
      <c r="D95" s="7"/>
    </row>
    <row r="96" spans="3:6" x14ac:dyDescent="0.25">
      <c r="D96" s="7"/>
    </row>
  </sheetData>
  <autoFilter ref="A3:G58" xr:uid="{00000000-0009-0000-0000-000002000000}">
    <filterColumn colId="3" showButton="0"/>
    <filterColumn colId="5" showButton="0"/>
  </autoFilter>
  <mergeCells count="13">
    <mergeCell ref="A6:A17"/>
    <mergeCell ref="A18:A28"/>
    <mergeCell ref="A29:A41"/>
    <mergeCell ref="A42:A52"/>
    <mergeCell ref="B1:G1"/>
    <mergeCell ref="G3:G5"/>
    <mergeCell ref="E3:E5"/>
    <mergeCell ref="A3:A5"/>
    <mergeCell ref="B3:B5"/>
    <mergeCell ref="C3:C5"/>
    <mergeCell ref="D3:D5"/>
    <mergeCell ref="F3:F5"/>
    <mergeCell ref="A53:A64"/>
  </mergeCells>
  <phoneticPr fontId="10" type="noConversion"/>
  <printOptions horizontalCentered="1"/>
  <pageMargins left="0.45" right="0.4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Đại lý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2026-05-02T04:08:40Z</cp:lastPrinted>
  <dcterms:created xsi:type="dcterms:W3CDTF">2021-01-06T03:12:54Z</dcterms:created>
  <dcterms:modified xsi:type="dcterms:W3CDTF">2026-05-18T05:29:58Z</dcterms:modified>
</cp:coreProperties>
</file>