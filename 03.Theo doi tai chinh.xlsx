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BC DONG TIEN" sheetId="1" r:id="rId1"/>
    <sheet name="THU-CHI" sheetId="2" r:id="rId2"/>
    <sheet name="Tau" sheetId="3" r:id="rId3"/>
    <sheet name="Tong Hop" sheetId="4" r:id="rId4"/>
    <sheet name="Phân bổ vay ngan han" sheetId="5" r:id="rId5"/>
    <sheet name="Sheet2" sheetId="6" r:id="rId6"/>
    <sheet name="THEO DOI CONG NO" sheetId="7" r:id="rId7"/>
  </sheets>
  <definedNames>
    <definedName name="_xlnm._FilterDatabase" localSheetId="0" hidden="1">'BC DONG TIEN'!A160:AL1479</definedName>
    <definedName name="_xlnm._FilterDatabase" localSheetId="1" hidden="1">'THU-CHI'!A9:V234</definedName>
  </definedNames>
</workbook>
</file>

<file path=xl/comments1.xml><?xml version="1.0" encoding="utf-8"?>
<comments xmlns="http://schemas.openxmlformats.org/spreadsheetml/2006/main">
  <authors>
    <author>Administrator</author>
  </authors>
  <commentList>
    <comment ref="M143" authorId="0">
      <text>
        <t xml:space="preserve">Administrator:
Tấn Cường
</t>
      </text>
    </comment>
    <comment ref="M286" authorId="0">
      <text>
        <t xml:space="preserve">Administrator:
Tiền Ông ủng hộ đại hội
</t>
      </text>
    </comment>
    <comment ref="S290" authorId="0">
      <text>
        <t xml:space="preserve">Administrator:
Gia hạn Vishiper</t>
      </text>
    </comment>
    <comment ref="O291" authorId="0">
      <text>
        <t xml:space="preserve">Administrator:
Đền bù tai nạn lexes
</t>
      </text>
    </comment>
    <comment ref="N294" authorId="0">
      <text>
        <t xml:space="preserve">Administrator:
Ong cho bạn vay</t>
      </text>
    </comment>
    <comment ref="O297" authorId="0">
      <text>
        <t xml:space="preserve">Administrator:
Vong Hoa Viếng bố vợ Capt Đức</t>
      </text>
    </comment>
    <comment ref="O298" authorId="0">
      <text>
        <t xml:space="preserve">Administrator:
Tièn rượu cho xưởng Hiếu</t>
      </text>
    </comment>
    <comment ref="P298" authorId="0">
      <text>
        <t xml:space="preserve">Administrator:
Qua tet 1.5tr</t>
      </text>
    </comment>
    <comment ref="O302" authorId="0">
      <text>
        <t xml:space="preserve">Administrator:
3/1/2026</t>
      </text>
    </comment>
    <comment ref="P302" authorId="0">
      <text>
        <t xml:space="preserve">Administrator:
6/2</t>
      </text>
    </comment>
    <comment ref="Q302" authorId="0">
      <text>
        <t xml:space="preserve">Administrator:
7/3</t>
      </text>
    </comment>
    <comment ref="O303" authorId="0">
      <text>
        <t xml:space="preserve">Administrator:
5/1</t>
      </text>
    </comment>
    <comment ref="P303" authorId="0">
      <text>
        <t xml:space="preserve">Administrator:
14/2</t>
      </text>
    </comment>
    <comment ref="O304" authorId="0">
      <text>
        <t xml:space="preserve">Administrator:
13/1</t>
      </text>
    </comment>
    <comment ref="P304" authorId="0">
      <text>
        <t xml:space="preserve">Administrator:
25/2</t>
      </text>
    </comment>
    <comment ref="O305" authorId="0">
      <text>
        <t xml:space="preserve">Administrator:
24/1</t>
      </text>
    </comment>
    <comment ref="P305" authorId="0">
      <text>
        <t xml:space="preserve">Administrator:
28/2
</t>
      </text>
    </comment>
    <comment ref="O306" authorId="0">
      <text>
        <t xml:space="preserve">Administrator:
30/1</t>
      </text>
    </comment>
    <comment ref="L308" authorId="0">
      <text>
        <t xml:space="preserve">Administrator:
C15</t>
      </text>
    </comment>
    <comment ref="M308" authorId="0">
      <text>
        <t xml:space="preserve">Administrator:
C18</t>
      </text>
    </comment>
    <comment ref="L309" authorId="0">
      <text>
        <t xml:space="preserve">Administrator:
C16
</t>
      </text>
    </comment>
    <comment ref="N309" authorId="0">
      <text>
        <t xml:space="preserve">Administrator:
C21 Vinh Xương</t>
      </text>
    </comment>
    <comment ref="P309" authorId="0">
      <text>
        <t xml:space="preserve">Administrator:
Le Pham</t>
      </text>
    </comment>
    <comment ref="O310" authorId="0">
      <text>
        <t xml:space="preserve">Administrator:
C2 Ckiler SH</t>
      </text>
    </comment>
    <comment ref="Q310" authorId="0">
      <text>
        <t xml:space="preserve">Administrator:
Xi Hòn La - Hậu Giang Sông Hậu</t>
      </text>
    </comment>
    <comment ref="O311" authorId="0">
      <text>
        <t xml:space="preserve">Administrator:
C3 Cát SH</t>
      </text>
    </comment>
    <comment ref="Q311" authorId="0">
      <text>
        <t xml:space="preserve">Administrator:
Hòn La Lê Phạm</t>
      </text>
    </comment>
    <comment ref="N312" authorId="0">
      <text>
        <t xml:space="preserve">Administrator:
C22 chuyến đá Hậu giang
</t>
      </text>
    </comment>
    <comment ref="S312" authorId="0">
      <text>
        <t xml:space="preserve">Administrator:
Phí ngoài QN
</t>
      </text>
    </comment>
    <comment ref="N313" authorId="0">
      <text>
        <t xml:space="preserve">Administrator:
C23 Cát Vĩnh Xương</t>
      </text>
    </comment>
    <comment ref="Q313" authorId="0">
      <text>
        <t xml:space="preserve">Administrator:
Phi ngoài chuyến than</t>
      </text>
    </comment>
    <comment ref="R313" authorId="0">
      <text>
        <t xml:space="preserve">Administrator:
Son Dương</t>
      </text>
    </comment>
    <comment ref="S313" authorId="0">
      <text>
        <t xml:space="preserve">Administrator:
Quảng Ninh</t>
      </text>
    </comment>
    <comment ref="R314" authorId="0">
      <text>
        <t xml:space="preserve">Administrator:
Hậu Giang
</t>
      </text>
    </comment>
    <comment ref="R315" authorId="0">
      <text>
        <t xml:space="preserve">Administrator:
Vĩnh Xương</t>
      </text>
    </comment>
    <comment ref="M316" authorId="0">
      <text>
        <t xml:space="preserve">Administrator:
C19</t>
      </text>
    </comment>
    <comment ref="Q321" authorId="0">
      <text>
        <t xml:space="preserve">Administrator:
Trinh xuân Tuân</t>
      </text>
    </comment>
    <comment ref="P322" authorId="0">
      <text>
        <t xml:space="preserve">Administrator:
Tết</t>
      </text>
    </comment>
    <comment ref="S326" authorId="0">
      <text>
        <t xml:space="preserve">Administrator:
26/1</t>
      </text>
    </comment>
    <comment ref="O335" authorId="0">
      <text>
        <t xml:space="preserve">Administrator:
Ruot sinh han + vat8%</t>
      </text>
    </comment>
    <comment ref="R335" authorId="0">
      <text>
        <t xml:space="preserve">Administrator:
Sơn</t>
      </text>
    </comment>
    <comment ref="S336" authorId="0">
      <text>
        <t xml:space="preserve">Administrator:
camera</t>
      </text>
    </comment>
    <comment ref="N339" authorId="0">
      <text>
        <t xml:space="preserve">Administrator:
Phân bổ lại</t>
      </text>
    </comment>
    <comment ref="O343" authorId="0">
      <text>
        <t xml:space="preserve">Administrator:
6/1</t>
      </text>
    </comment>
    <comment ref="P343" authorId="0">
      <text>
        <t xml:space="preserve">Administrator:
9/2</t>
      </text>
    </comment>
    <comment ref="O344" authorId="0">
      <text>
        <t xml:space="preserve">Administrator:
15/1</t>
      </text>
    </comment>
    <comment ref="P344" authorId="0">
      <text>
        <t xml:space="preserve">Administrator:
11/2</t>
      </text>
    </comment>
    <comment ref="Q344" authorId="0">
      <text>
        <t xml:space="preserve">Administrator:
12/3</t>
      </text>
    </comment>
    <comment ref="O345" authorId="0">
      <text>
        <t xml:space="preserve">Administrator:
19/1</t>
      </text>
    </comment>
    <comment ref="P345" authorId="0">
      <text>
        <t xml:space="preserve">Administrator:
21/2</t>
      </text>
    </comment>
    <comment ref="O346" authorId="0">
      <text>
        <t xml:space="preserve">Administrator:
24/1</t>
      </text>
    </comment>
    <comment ref="O347" authorId="0">
      <text>
        <t xml:space="preserve">Administrator:
29/1</t>
      </text>
    </comment>
    <comment ref="M351" authorId="0">
      <text>
        <t xml:space="preserve">Administrator:
C20</t>
      </text>
    </comment>
    <comment ref="P351" authorId="0">
      <text>
        <t xml:space="preserve">Administrator:
Le Pham Xi</t>
      </text>
    </comment>
    <comment ref="Q351" authorId="0">
      <text>
        <t xml:space="preserve">Administrator:
Xi C4</t>
      </text>
    </comment>
    <comment ref="O352" authorId="0">
      <text>
        <t xml:space="preserve">Administrator:
C22 Sông Hậu</t>
      </text>
    </comment>
    <comment ref="P352" authorId="0">
      <text>
        <t xml:space="preserve">Administrator:
C2 Xỉ Sunshine HCM
</t>
      </text>
    </comment>
    <comment ref="Q352" authorId="0">
      <text>
        <t xml:space="preserve">Administrator:
Xi C4</t>
      </text>
    </comment>
    <comment ref="N353" authorId="0">
      <text>
        <t xml:space="preserve">Administrator:
C22 xỉ Sơn Dương</t>
      </text>
    </comment>
    <comment ref="O353" authorId="0">
      <text>
        <t xml:space="preserve">Administrator:
C1 Cat Vĩnh Xương</t>
      </text>
    </comment>
    <comment ref="P353" authorId="0">
      <text>
        <t xml:space="preserve">Administrator:
Argen Sea Vinh Tan</t>
      </text>
    </comment>
    <comment ref="Q353" authorId="0">
      <text>
        <t xml:space="preserve">Administrator:
Cát Sông Hậu</t>
      </text>
    </comment>
    <comment ref="R353" authorId="0">
      <text>
        <t xml:space="preserve">Administrator:
Vĩnh Xương Sông Hậu</t>
      </text>
    </comment>
    <comment ref="L354" authorId="0">
      <text>
        <t xml:space="preserve">Administrator:
C18</t>
      </text>
    </comment>
    <comment ref="M354" authorId="0">
      <text>
        <t xml:space="preserve">Administrator:
C18 Xi min HCM
</t>
      </text>
    </comment>
    <comment ref="N354" authorId="0">
      <text>
        <t xml:space="preserve">Administrator:
C20 Song Hậu</t>
      </text>
    </comment>
    <comment ref="Q354" authorId="0">
      <text>
        <t xml:space="preserve">Administrator:
Sơn Dương Lê Phạm</t>
      </text>
    </comment>
    <comment ref="S355" authorId="0">
      <text>
        <t xml:space="preserve">Administrator:
Phí ngoai QN</t>
      </text>
    </comment>
    <comment ref="M359" authorId="0">
      <text>
        <t xml:space="preserve">Administrator:
C19 Vinh Xương</t>
      </text>
    </comment>
    <comment ref="N363" authorId="0">
      <text>
        <t xml:space="preserve">Administrator:
Sỹ 10tr
</t>
      </text>
    </comment>
    <comment ref="O363" authorId="0">
      <text>
        <t xml:space="preserve">Administrator:
Le Ngoc Anh 3tr
Bùi Thế Tiến 3tr</t>
      </text>
    </comment>
    <comment ref="P365" authorId="0">
      <text>
        <t xml:space="preserve">Administrator:
Tết</t>
      </text>
    </comment>
    <comment ref="P367" authorId="0">
      <text>
        <t xml:space="preserve">Administrator:
Hoang Khải</t>
      </text>
    </comment>
    <comment ref="S371" authorId="0">
      <text>
        <t xml:space="preserve">Administrator:
14/3</t>
      </text>
    </comment>
    <comment ref="R379" authorId="0">
      <text>
        <t xml:space="preserve">Administrator:
Sơn</t>
      </text>
    </comment>
    <comment ref="S379" authorId="0">
      <text>
        <t xml:space="preserve">Administrator:
vat tu may t3 + VHF</t>
      </text>
    </comment>
    <comment ref="S380" authorId="0">
      <text>
        <t xml:space="preserve">Administrator:
Camera</t>
      </text>
    </comment>
    <comment ref="O393" authorId="0">
      <text>
        <t xml:space="preserve">Administrator:
6/1</t>
      </text>
    </comment>
    <comment ref="P393" authorId="0">
      <text>
        <t xml:space="preserve">Administrator:
4/2</t>
      </text>
    </comment>
    <comment ref="Q393" authorId="0">
      <text>
        <t xml:space="preserve">Administrator:
6/3</t>
      </text>
    </comment>
    <comment ref="O394" authorId="0">
      <text>
        <t xml:space="preserve">Administrator:
8/1</t>
      </text>
    </comment>
    <comment ref="P394" authorId="0">
      <text>
        <t xml:space="preserve">Administrator:
16/2</t>
      </text>
    </comment>
    <comment ref="Q394" authorId="0">
      <text>
        <t xml:space="preserve">Administrator:
8/3
</t>
      </text>
    </comment>
    <comment ref="O395" authorId="0">
      <text>
        <t xml:space="preserve">Administrator:
17/1</t>
      </text>
    </comment>
    <comment ref="P395" authorId="0">
      <text>
        <t xml:space="preserve">Administrator:
26/2</t>
      </text>
    </comment>
    <comment ref="R395" authorId="0">
      <text>
        <t xml:space="preserve">Administrator:
8/4</t>
      </text>
    </comment>
    <comment ref="O396" authorId="0">
      <text>
        <t xml:space="preserve">Administrator:
28/1</t>
      </text>
    </comment>
    <comment ref="M402" authorId="0">
      <text>
        <t xml:space="preserve">Administrator:
C22
</t>
      </text>
    </comment>
    <comment ref="N402" authorId="0">
      <text>
        <t xml:space="preserve">Administrator:
C24</t>
      </text>
    </comment>
    <comment ref="P402" authorId="0">
      <text>
        <t xml:space="preserve">Administrator:
Le Pham</t>
      </text>
    </comment>
    <comment ref="Q402" authorId="0">
      <text>
        <t xml:space="preserve">Administrator:
C4 Quặng</t>
      </text>
    </comment>
    <comment ref="L403" authorId="0">
      <text>
        <t xml:space="preserve">Administrator:
C18</t>
      </text>
    </comment>
    <comment ref="M403" authorId="0">
      <text>
        <t xml:space="preserve">Administrator:
C20</t>
      </text>
    </comment>
    <comment ref="O403" authorId="0">
      <text>
        <t xml:space="preserve">Administrator:
C1 Xi</t>
      </text>
    </comment>
    <comment ref="P403" authorId="0">
      <text>
        <t xml:space="preserve">Administrator:
Sông Hậu</t>
      </text>
    </comment>
    <comment ref="Q403" authorId="0">
      <text>
        <t xml:space="preserve">Administrator:
C4 Quặng</t>
      </text>
    </comment>
    <comment ref="R403" authorId="0">
      <text>
        <t xml:space="preserve">Administrator:
C7 Hậu Giang Sông Hậu</t>
      </text>
    </comment>
    <comment ref="L404" authorId="0">
      <text>
        <t xml:space="preserve">Administrator:
C19 Cát</t>
      </text>
    </comment>
    <comment ref="M404" authorId="0">
      <text>
        <t xml:space="preserve">Administrator:
C21 cát</t>
      </text>
    </comment>
    <comment ref="N404" authorId="0">
      <text>
        <t xml:space="preserve">Administrator:
C23 Song hậu</t>
      </text>
    </comment>
    <comment ref="O404" authorId="0">
      <text>
        <t xml:space="preserve">Administrator:
C2 Cat Vinh xuong SHau</t>
      </text>
    </comment>
    <comment ref="R404" authorId="0">
      <text>
        <t xml:space="preserve">Administrator:
C8 Vĩnh Xương Sông Hậu</t>
      </text>
    </comment>
    <comment ref="N405" authorId="0">
      <text>
        <t xml:space="preserve">Administrator:
C25 Vĩnh Xương</t>
      </text>
    </comment>
    <comment ref="N406" authorId="0">
      <text>
        <t xml:space="preserve">Administrator:
C24 Sơn Dương</t>
      </text>
    </comment>
    <comment ref="L408" authorId="0">
      <text>
        <t xml:space="preserve">Administrator:
C19 Phí lai dắt</t>
      </text>
    </comment>
    <comment ref="N408" authorId="0">
      <text>
        <t xml:space="preserve">Administrator:
6/12</t>
      </text>
    </comment>
    <comment ref="L413" authorId="0">
      <text>
        <t xml:space="preserve">Administrator:
Nguyễn Trọng Tuấn Anh
</t>
      </text>
    </comment>
    <comment ref="M413" authorId="0">
      <text>
        <t xml:space="preserve">Administrator:
Đại
</t>
      </text>
    </comment>
    <comment ref="O414" authorId="0">
      <text>
        <t xml:space="preserve">Administrator:
Lưu Quang Trương 5TR</t>
      </text>
    </comment>
    <comment ref="P415" authorId="0">
      <text>
        <t xml:space="preserve">Administrator:
Chạy tết
</t>
      </text>
    </comment>
    <comment ref="S422" authorId="0">
      <text>
        <t xml:space="preserve">Administrator:
23/2
18/3</t>
      </text>
    </comment>
    <comment ref="O430" authorId="0">
      <text>
        <t xml:space="preserve">Administrator:
Tu dong 7.5tr</t>
      </text>
    </comment>
    <comment ref="Q430" authorId="0">
      <text>
        <t xml:space="preserve">Administrator:
Bảo dưỡng cứu hoả</t>
      </text>
    </comment>
    <comment ref="AC430" authorId="0">
      <text>
        <t xml:space="preserve">Administrator:
Phan bo lai</t>
      </text>
    </comment>
    <comment ref="Q431" authorId="0">
      <text>
        <t xml:space="preserve">Administrator:
Vô tuyến điện
</t>
      </text>
    </comment>
    <comment ref="Q432" authorId="0">
      <text>
        <t xml:space="preserve">Administrator:
Kiểm tra tàu</t>
      </text>
    </comment>
    <comment ref="O436" authorId="0">
      <text>
        <t xml:space="preserve">Administrator:
2/1</t>
      </text>
    </comment>
    <comment ref="P436" authorId="0">
      <text>
        <t xml:space="preserve">Administrator:
6/2</t>
      </text>
    </comment>
    <comment ref="Q436" authorId="0">
      <text>
        <t xml:space="preserve">Administrator:
5/3</t>
      </text>
    </comment>
    <comment ref="O437" authorId="0">
      <text>
        <t xml:space="preserve">Administrator:
14/1</t>
      </text>
    </comment>
    <comment ref="P437" authorId="0">
      <text>
        <t xml:space="preserve">Administrator:
22/2</t>
      </text>
    </comment>
    <comment ref="O438" authorId="0">
      <text>
        <t xml:space="preserve">Administrator:
19/1</t>
      </text>
    </comment>
    <comment ref="P438" authorId="0">
      <text>
        <t xml:space="preserve">Administrator:
26/2</t>
      </text>
    </comment>
    <comment ref="R438" authorId="0">
      <text>
        <t xml:space="preserve">Administrator:
1/4</t>
      </text>
    </comment>
    <comment ref="O439" authorId="0">
      <text>
        <t xml:space="preserve">Administrator:
29/1</t>
      </text>
    </comment>
    <comment ref="R439" authorId="0">
      <text>
        <t xml:space="preserve">Administrator:
10/4</t>
      </text>
    </comment>
    <comment ref="R445" authorId="0">
      <text>
        <t xml:space="preserve">Administrator:
C5</t>
      </text>
    </comment>
    <comment ref="O446" authorId="0">
      <text>
        <t xml:space="preserve">Administrator:
Chuyến Huỷ</t>
      </text>
    </comment>
    <comment ref="P446" authorId="0">
      <text>
        <t xml:space="preserve">Administrator:
Sunshine Clkiee</t>
      </text>
    </comment>
    <comment ref="Q446" authorId="0">
      <text>
        <t xml:space="preserve">Administrator:
Súnhine Cliker</t>
      </text>
    </comment>
    <comment ref="M447" authorId="0">
      <text>
        <t xml:space="preserve">Administrator:
C1 Than tiền ngoài</t>
      </text>
    </comment>
    <comment ref="O447" authorId="0">
      <text>
        <t xml:space="preserve">Administrator:
Vinh Tân
</t>
      </text>
    </comment>
    <comment ref="P447" authorId="0">
      <text>
        <t xml:space="preserve">Administrator:
Sunshine Duong</t>
      </text>
    </comment>
    <comment ref="L448" authorId="0">
      <text>
        <t xml:space="preserve">Administrator:
C17</t>
      </text>
    </comment>
    <comment ref="N448" authorId="0">
      <text>
        <t xml:space="preserve">Administrator:
Nghi thiet
</t>
      </text>
    </comment>
    <comment ref="O448" authorId="0">
      <text>
        <t xml:space="preserve">Administrator:
phí hằng hải</t>
      </text>
    </comment>
    <comment ref="P448" authorId="0">
      <text>
        <t xml:space="preserve">Administrator:
tam ung chuyen duong</t>
      </text>
    </comment>
    <comment ref="R448" authorId="0">
      <text>
        <t xml:space="preserve">Administrator:
Than QN</t>
      </text>
    </comment>
    <comment ref="L449" authorId="0">
      <text>
        <t xml:space="preserve">Administrator:
C18</t>
      </text>
    </comment>
    <comment ref="N449" authorId="0">
      <text>
        <t xml:space="preserve">Administrator:
C2 Clinker HCM</t>
      </text>
    </comment>
    <comment ref="R449" authorId="0">
      <text>
        <t xml:space="preserve">Administrator:
Tôn HP QT xanh</t>
      </text>
    </comment>
    <comment ref="L452" authorId="0">
      <text>
        <t xml:space="preserve">Administrator:
C18</t>
      </text>
    </comment>
    <comment ref="N452" authorId="0">
      <text>
        <t xml:space="preserve">Administrator:
Dỡ Duyên Hải</t>
      </text>
    </comment>
    <comment ref="L453" authorId="0">
      <text>
        <t xml:space="preserve">Administrator:
C19
</t>
      </text>
    </comment>
    <comment ref="N453" authorId="0">
      <text>
        <t xml:space="preserve">Administrator:
2 chuyến Gò Gia</t>
      </text>
    </comment>
    <comment ref="L454" authorId="0">
      <text>
        <t xml:space="preserve">Administrator:
C19</t>
      </text>
    </comment>
    <comment ref="O454" authorId="0">
      <text>
        <t xml:space="preserve">Administrator:
20/1 Nghi Sơn
</t>
      </text>
    </comment>
    <comment ref="P454" authorId="0">
      <text>
        <t xml:space="preserve">Administrator:
Cang vu+cầu bến Hòn La</t>
      </text>
    </comment>
    <comment ref="R454" authorId="0">
      <text>
        <t xml:space="preserve">Administrator:
Phí ngoài qN
</t>
      </text>
    </comment>
    <comment ref="M457" authorId="0">
      <text>
        <t xml:space="preserve">Administrator:
Le Văn Cường 5t
Trường Giang 15t
Trần Văn Phiến 12Tr
</t>
      </text>
    </comment>
    <comment ref="N457" authorId="0">
      <text>
        <t xml:space="preserve">Administrator:
Riu 3tr
Châu 17267</t>
      </text>
    </comment>
    <comment ref="Q458" authorId="0">
      <text>
        <t xml:space="preserve">Administrator:
Nguyen trong Tuan Anh</t>
      </text>
    </comment>
    <comment ref="P460" authorId="0">
      <text>
        <t xml:space="preserve">Administrator:
Tết</t>
      </text>
    </comment>
    <comment ref="S466" authorId="0">
      <text>
        <t xml:space="preserve">Administrator:
Cấp 1/4</t>
      </text>
    </comment>
    <comment ref="O474" authorId="0">
      <text>
        <t xml:space="preserve">Administrator:
Loc gio DO, Lo
5tr son
vat tu mua HP 14/1: 9265
Bát doa ; 1tr
Bạt:12tr
Mắt xích nối:6.7tr</t>
      </text>
    </comment>
    <comment ref="R474" authorId="0">
      <text>
        <t xml:space="preserve">Administrator:
Hai do+Thep thanh trau+ dây buộc tàu</t>
      </text>
    </comment>
    <comment ref="S474" authorId="0">
      <text>
        <t xml:space="preserve">Administrator:
Sơn HP</t>
      </text>
    </comment>
    <comment ref="Q475" authorId="0">
      <text>
        <t xml:space="preserve">Administrator:
AIS</t>
      </text>
    </comment>
    <comment ref="S475" authorId="0">
      <text>
        <t xml:space="preserve">Administrator:
Điện</t>
      </text>
    </comment>
    <comment ref="O477" authorId="0">
      <text>
        <t xml:space="preserve">Administrator:
Bat doa 1080
Đồ máy 810</t>
      </text>
    </comment>
    <comment ref="R478" authorId="0">
      <text>
        <t xml:space="preserve">Administrator:
may tinh may in</t>
      </text>
    </comment>
    <comment ref="O484" authorId="0">
      <text>
        <t xml:space="preserve">Administrator:
1/1</t>
      </text>
    </comment>
    <comment ref="P484" authorId="0">
      <text>
        <t xml:space="preserve">Administrator:
4/2</t>
      </text>
    </comment>
    <comment ref="Q484" authorId="0">
      <text>
        <t xml:space="preserve">Administrator:
3/3</t>
      </text>
    </comment>
    <comment ref="O485" authorId="0">
      <text>
        <t xml:space="preserve">Administrator:
5/1</t>
      </text>
    </comment>
    <comment ref="P485" authorId="0">
      <text>
        <t xml:space="preserve">Administrator:
7/2</t>
      </text>
    </comment>
    <comment ref="Q485" authorId="0">
      <text>
        <t xml:space="preserve">Administrator:
6/3</t>
      </text>
    </comment>
    <comment ref="O486" authorId="0">
      <text>
        <t xml:space="preserve">Administrator:
13/1</t>
      </text>
    </comment>
    <comment ref="P486" authorId="0">
      <text>
        <t xml:space="preserve">Administrator:
23/2</t>
      </text>
    </comment>
    <comment ref="O487" authorId="0">
      <text>
        <t xml:space="preserve">Administrator:
17/1</t>
      </text>
    </comment>
    <comment ref="P487" authorId="0">
      <text>
        <t xml:space="preserve">Administrator:
14/2</t>
      </text>
    </comment>
    <comment ref="O488" authorId="0">
      <text>
        <t xml:space="preserve">Administrator:
23/1</t>
      </text>
    </comment>
    <comment ref="O489" authorId="0">
      <text>
        <t xml:space="preserve">Administrator:
29/1</t>
      </text>
    </comment>
    <comment ref="O492" authorId="0">
      <text>
        <t xml:space="preserve">Administrator:
C25 LE Phạm</t>
      </text>
    </comment>
    <comment ref="Q492" authorId="0">
      <text>
        <t xml:space="preserve">Administrator:
C5 Xỉ</t>
      </text>
    </comment>
    <comment ref="O493" authorId="0">
      <text>
        <t xml:space="preserve">Administrator:
C25 Sunshine</t>
      </text>
    </comment>
    <comment ref="Q493" authorId="0">
      <text>
        <t xml:space="preserve">Administrator:
C5 Xỉ</t>
      </text>
    </comment>
    <comment ref="N494" authorId="0">
      <text>
        <t xml:space="preserve">Administrator:
1/12</t>
      </text>
    </comment>
    <comment ref="O494" authorId="0">
      <text>
        <t xml:space="preserve">Administrator:
C2 cat VX Sông Hậu</t>
      </text>
    </comment>
    <comment ref="Q494" authorId="0">
      <text>
        <t xml:space="preserve">Administrator:
C6 Quặng</t>
      </text>
    </comment>
    <comment ref="L495" authorId="0">
      <text>
        <t xml:space="preserve">Administrator:
C17</t>
      </text>
    </comment>
    <comment ref="M495" authorId="0">
      <text>
        <t xml:space="preserve">Administrator:
C20</t>
      </text>
    </comment>
    <comment ref="N495" authorId="0">
      <text>
        <t xml:space="preserve">Administrator:
Sông Hậu C22</t>
      </text>
    </comment>
    <comment ref="L496" authorId="0">
      <text>
        <t xml:space="preserve">Administrator:
C18</t>
      </text>
    </comment>
    <comment ref="M496" authorId="0">
      <text>
        <t xml:space="preserve">Administrator:
C21</t>
      </text>
    </comment>
    <comment ref="N496" authorId="0">
      <text>
        <t xml:space="preserve">Administrator:
C23 Vĩnh Xương
</t>
      </text>
    </comment>
    <comment ref="L497" authorId="0">
      <text>
        <t xml:space="preserve">Administrator:
C18</t>
      </text>
    </comment>
    <comment ref="N497" authorId="0">
      <text>
        <t xml:space="preserve">Administrator:
Hải Phòng, Quốc tế xanh</t>
      </text>
    </comment>
    <comment ref="O497" authorId="0">
      <text>
        <t xml:space="preserve">Administrator:
C3 Ckier SH</t>
      </text>
    </comment>
    <comment ref="L498" authorId="0">
      <text>
        <t xml:space="preserve">Administrator:
C19
</t>
      </text>
    </comment>
    <comment ref="N498" authorId="0">
      <text>
        <t xml:space="preserve">Administrator:
C25 Xỉ, Sơn Dương</t>
      </text>
    </comment>
    <comment ref="O498" authorId="0">
      <text>
        <t xml:space="preserve">Administrator:
Đà Nẵng 9Tr</t>
      </text>
    </comment>
    <comment ref="Q498" authorId="0">
      <text>
        <t xml:space="preserve">Administrator:
Phí hàng hải</t>
      </text>
    </comment>
    <comment ref="L499" authorId="0">
      <text>
        <t xml:space="preserve">Administrator:
C19</t>
      </text>
    </comment>
    <comment ref="O499" authorId="0">
      <text>
        <t xml:space="preserve">Administrator:
Hon La 5tr</t>
      </text>
    </comment>
    <comment ref="Q504" authorId="0">
      <text>
        <t xml:space="preserve">Administrator:
Danh 10tr</t>
      </text>
    </comment>
    <comment ref="R505" authorId="0">
      <text>
        <t xml:space="preserve">Administrator:
Quyết toán vé tết 36</t>
      </text>
    </comment>
    <comment ref="P518" authorId="0">
      <text>
        <t xml:space="preserve">Administrator:
Ve may bay</t>
      </text>
    </comment>
    <comment ref="Q518" authorId="0">
      <text>
        <t xml:space="preserve">Administrator:
VHF</t>
      </text>
    </comment>
    <comment ref="O519" authorId="0">
      <text>
        <t xml:space="preserve">Administrator:
Sửa chữa xi lanh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43" formatCode="_(* #,##0.00_);_(* \(#,##0.00\);_(* &quot;-&quot;??_);_(@_)"/>
    <numFmt numFmtId="56" formatCode="&quot;上午/下午 &quot;hh&quot;時&quot;mm&quot;分&quot;ss&quot;秒 &quot;"/>
    <numFmt numFmtId="164" formatCode="_(* #,##0_);_(* \(#,##0\);_(* &quot;-&quot;??_);_(@_)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U1479"/>
  <sheetViews>
    <sheetView workbookViewId="0" rightToLeft="0"/>
  </sheetViews>
  <sheetData>
    <row r="1">
      <c r="A1" t="str">
        <v>BÁO CÁO DÒNG TIỀN</v>
      </c>
      <c r="AC1">
        <v>3394232603</v>
      </c>
      <c r="AD1" t="str">
        <v>Số dư đầu kỳ 1/1/2026</v>
      </c>
      <c r="AF1">
        <v>184951052</v>
      </c>
      <c r="AG1">
        <f>+AF1-AF3</f>
        <v>169272720</v>
      </c>
    </row>
    <row r="3">
      <c r="A3" t="str">
        <v>STT</v>
      </c>
      <c r="B3" t="str">
        <v>Theo dõi từ Q3/2025</v>
      </c>
      <c r="K3" t="str">
        <v>LUỸ KẾ ĐẾN HẾT THÁNG 9</v>
      </c>
      <c r="L3" t="str">
        <v>THÁNG 10</v>
      </c>
      <c r="M3" t="str">
        <v>THÁNG 11</v>
      </c>
      <c r="N3" t="str">
        <v>THÁNG 12/2025</v>
      </c>
      <c r="O3" t="str">
        <v>THÁNG 1/2026</v>
      </c>
      <c r="P3" t="str">
        <v>THÁNG 2/2026</v>
      </c>
      <c r="Q3" t="str">
        <v>THÁNG 3/2026</v>
      </c>
      <c r="R3" t="str">
        <v>THÁNG 4/2026</v>
      </c>
      <c r="S3" t="str">
        <v>THÁNG 5/2026</v>
      </c>
      <c r="T3" t="str">
        <v>Tổng cộng</v>
      </c>
      <c r="AD3">
        <v>4048958201</v>
      </c>
      <c r="AE3">
        <f>+AE11-AE4</f>
        <v>341902193.18518543</v>
      </c>
      <c r="AF3">
        <f>+AF11+AG11</f>
        <v>15678332</v>
      </c>
      <c r="AG3">
        <v>119596052</v>
      </c>
      <c r="AH3">
        <f>+AF11-AF3</f>
        <v>0</v>
      </c>
    </row>
    <row r="4">
      <c r="AD4">
        <f>+AD3-AD11</f>
        <v>0</v>
      </c>
      <c r="AE4">
        <v>673361690</v>
      </c>
    </row>
    <row r="5">
      <c r="B5" t="str">
        <v>Thu công nợ khai thác</v>
      </c>
      <c r="E5">
        <v>0</v>
      </c>
      <c r="F5">
        <v>0</v>
      </c>
      <c r="G5">
        <f>+F525</f>
        <v>0</v>
      </c>
      <c r="H5">
        <f>+G525</f>
        <v>0</v>
      </c>
      <c r="I5">
        <f>+H525</f>
        <v>0</v>
      </c>
      <c r="J5">
        <f>+I525</f>
        <v>0</v>
      </c>
      <c r="L5">
        <f>+L15+L79+L112+L123+L126</f>
        <v>4646421745</v>
      </c>
      <c r="M5">
        <f>+M15+M79+M112+M123+M126</f>
        <v>7356134515</v>
      </c>
      <c r="N5">
        <f>+N15+N79+N112+N123+N126</f>
        <v>8848406212</v>
      </c>
      <c r="O5">
        <f>+O15+O79+O112+O123+O126+O115+O120</f>
        <v>8023411089</v>
      </c>
      <c r="P5">
        <f>+P15+P79+P112+P123+P126+P115+P120</f>
        <v>6300356537</v>
      </c>
      <c r="Q5">
        <f>+Q15+Q79+Q112+Q123+Q126+Q115+Q120</f>
        <v>7514353650</v>
      </c>
      <c r="R5">
        <f>+R15+R79+R112+R123+R126+R115+R120</f>
        <v>10940107060</v>
      </c>
      <c r="S5">
        <f>+S15+S79+S112+S123+S126+S115+S120</f>
        <v>6759945740</v>
      </c>
      <c r="T5">
        <f>+SUM(O5:S5)</f>
        <v>39538174076</v>
      </c>
      <c r="AC5" t="str">
        <v>Gốc ngân hàng</v>
      </c>
      <c r="AD5" t="str">
        <v>Lãi ngân hàng</v>
      </c>
    </row>
    <row r="6">
      <c r="B6" t="str">
        <v>Vay ngân hàng và các khoản ngoài</v>
      </c>
      <c r="E6">
        <v>0</v>
      </c>
      <c r="F6">
        <v>0</v>
      </c>
      <c r="G6">
        <f>+F526</f>
        <v>4920904666</v>
      </c>
      <c r="H6">
        <f>+G526</f>
        <v>55838638.17684411</v>
      </c>
      <c r="I6">
        <f>+H526</f>
        <v>81836997554</v>
      </c>
      <c r="J6">
        <f>+I526</f>
        <v>680137583.7037034</v>
      </c>
      <c r="K6">
        <f>+K130+K131+K139+K146+K151</f>
        <v>42923600590</v>
      </c>
      <c r="L6">
        <f>+L130+L131+L139+L146+L151</f>
        <v>7187964204</v>
      </c>
      <c r="M6">
        <f>+M130+M131+M139+M146</f>
        <v>3325596067</v>
      </c>
      <c r="N6">
        <f>+N130+N131+N139+N146</f>
        <v>450000056</v>
      </c>
      <c r="O6">
        <f>+O130+O131+O139+O146</f>
        <v>-21582421</v>
      </c>
      <c r="P6">
        <f>+P130+P131+P139+P146</f>
        <v>24149986</v>
      </c>
      <c r="Q6">
        <f>+Q130+Q131+Q139+Q146</f>
        <v>1342014658</v>
      </c>
      <c r="R6">
        <f>+R130+R131+R139+R146</f>
        <v>890759820</v>
      </c>
      <c r="S6">
        <f>+S130+S131+S139+S146</f>
        <v>-46813882</v>
      </c>
      <c r="T6">
        <f>+SUM(O6:S6)</f>
        <v>2188528161</v>
      </c>
      <c r="AC6">
        <f>+T178</f>
        <v>7781520000</v>
      </c>
      <c r="AD6">
        <f>+T179</f>
        <v>3125745320</v>
      </c>
    </row>
    <row r="7">
      <c r="B7" t="str">
        <v>Chi Phí cho Tàu 18</v>
      </c>
      <c r="E7">
        <v>0</v>
      </c>
      <c r="F7">
        <v>0</v>
      </c>
      <c r="G7">
        <f>+F526</f>
        <v>4920904666</v>
      </c>
      <c r="H7">
        <f>+G526</f>
        <v>55838638.17684411</v>
      </c>
      <c r="I7">
        <f>+H526</f>
        <v>81836997554</v>
      </c>
      <c r="J7">
        <f>+I526</f>
        <v>680137583.7037034</v>
      </c>
      <c r="K7">
        <f>+K159</f>
        <v>50111911200</v>
      </c>
      <c r="L7">
        <f>+L159</f>
        <v>7769093262</v>
      </c>
      <c r="M7">
        <f>+M159</f>
        <v>6157840373</v>
      </c>
      <c r="N7">
        <f>+N159</f>
        <v>2717272948</v>
      </c>
      <c r="O7">
        <f>+O159</f>
        <v>1760692869</v>
      </c>
      <c r="P7">
        <f>+P159</f>
        <v>1467524225</v>
      </c>
      <c r="Q7">
        <f>+Q159</f>
        <v>1017579662</v>
      </c>
      <c r="R7">
        <f>+R159</f>
        <v>1165252302</v>
      </c>
      <c r="S7">
        <f>+S159</f>
        <v>195070000</v>
      </c>
      <c r="T7">
        <f>+SUM(O7:S7)</f>
        <v>5606119058</v>
      </c>
    </row>
    <row r="8">
      <c r="B8" t="str">
        <v>Chi Phí văn phòng</v>
      </c>
      <c r="E8">
        <v>0</v>
      </c>
      <c r="F8">
        <v>0</v>
      </c>
      <c r="G8">
        <f>+F527</f>
        <v>0</v>
      </c>
      <c r="H8">
        <f>+G527</f>
        <v>0</v>
      </c>
      <c r="I8">
        <f>+H527</f>
        <v>0</v>
      </c>
      <c r="J8">
        <f>+I527</f>
        <v>0</v>
      </c>
      <c r="L8">
        <f>+L273</f>
        <v>529212075</v>
      </c>
      <c r="M8">
        <f>+M273</f>
        <v>176153748</v>
      </c>
      <c r="N8">
        <f>+N273</f>
        <v>291109427</v>
      </c>
      <c r="O8">
        <f>+O273</f>
        <v>261121732</v>
      </c>
      <c r="P8">
        <f>+P273</f>
        <v>718908165</v>
      </c>
      <c r="Q8">
        <f>+Q273</f>
        <v>123958125</v>
      </c>
      <c r="R8">
        <f>+R273</f>
        <v>227794118</v>
      </c>
      <c r="S8">
        <f>+S273</f>
        <v>203054415</v>
      </c>
      <c r="T8">
        <f>+SUM(O8:S8)</f>
        <v>1534836555</v>
      </c>
    </row>
    <row r="9">
      <c r="B9" t="str">
        <v>Chi Phí khai thác</v>
      </c>
      <c r="E9">
        <v>0</v>
      </c>
      <c r="F9">
        <v>0</v>
      </c>
      <c r="G9">
        <f>+F528</f>
        <v>0</v>
      </c>
      <c r="H9">
        <f>+G528</f>
        <v>0</v>
      </c>
      <c r="I9">
        <f>+H528</f>
        <v>0</v>
      </c>
      <c r="J9">
        <f>+I528</f>
        <v>0</v>
      </c>
      <c r="L9">
        <f>+L299-L142</f>
        <v>4418509042</v>
      </c>
      <c r="M9">
        <f>+M299-M142</f>
        <v>3463807816</v>
      </c>
      <c r="N9">
        <f>+N299-N142</f>
        <v>4142729331.4814816</v>
      </c>
      <c r="O9">
        <f>+O299-O142</f>
        <v>6915025398</v>
      </c>
      <c r="P9">
        <f>+P299-P142</f>
        <v>4879845230</v>
      </c>
      <c r="Q9">
        <f>+Q299-Q142</f>
        <v>8909949891.333332</v>
      </c>
      <c r="R9">
        <f>+R299-R142</f>
        <v>9212194445</v>
      </c>
      <c r="S9">
        <f>+S299-S142</f>
        <v>3003822069</v>
      </c>
      <c r="T9">
        <f>+SUM(O9:S9)</f>
        <v>32920837033.333332</v>
      </c>
    </row>
    <row r="10">
      <c r="B10" t="str">
        <v>Cân đối thu chi</v>
      </c>
      <c r="E10">
        <v>0</v>
      </c>
      <c r="F10">
        <v>0</v>
      </c>
      <c r="G10">
        <f>+F527</f>
        <v>0</v>
      </c>
      <c r="H10">
        <f>+G527</f>
        <v>0</v>
      </c>
      <c r="I10">
        <f>+H527</f>
        <v>0</v>
      </c>
      <c r="J10">
        <f>+I527</f>
        <v>0</v>
      </c>
      <c r="L10">
        <f>+L5+L6-L7-L8-L9</f>
        <v>-882428430</v>
      </c>
      <c r="M10">
        <f>+M5+M6-M7-M8-M9</f>
        <v>883928645</v>
      </c>
      <c r="N10">
        <f>+N5+N6-N7-N8-N9</f>
        <v>2147294561.5185184</v>
      </c>
      <c r="O10">
        <f>+O5+O6-O7-O8-O9</f>
        <v>-935011331</v>
      </c>
      <c r="P10">
        <f>+P5+P6-P7-P8-P9</f>
        <v>-741771097</v>
      </c>
      <c r="Q10">
        <f>+Q5+Q6-Q7-Q8-Q9</f>
        <v>-1195119370.333332</v>
      </c>
      <c r="R10">
        <f>+R5+R6-R7-R8-R9</f>
        <v>1225626015</v>
      </c>
      <c r="S10">
        <f>+S5+S6-S7-S8-S9</f>
        <v>3311185374</v>
      </c>
      <c r="T10">
        <f>+SUM(L10:N10)</f>
        <v>2148794776.5185184</v>
      </c>
      <c r="AD10">
        <f>+L10+L12</f>
        <v>382498780</v>
      </c>
    </row>
    <row r="11">
      <c r="AD11">
        <f>2966196048+400000000+11208545-SUMIF(U$159:U$1048576, "AB", L$159:L$1048576)-50000000+SUMIF(U$13:U$154, "AB", L$13:L$154)-AD14+SUMIF(V$13:V$154, "AB", M$13:M$154)-SUMIF(V$159:V$1048576, "AB", M$159:M$1048576)-AD123-AD139-AD142+1500000000+378690000-469893910+SUMIF(W$13:W$154, "AB", N$13:N$154)-SUMIF(W$159:W$1048576, "AB", N$159:N$1048576)+50000000+6117500-82066909-500000000+SUMIF(X$13:X$154, "AB", O$13:O$154)-SUMIF(X$159:X$1048576, "AB", O$159:O$1048576)+122939260+187791391-302841540+1470000+9265000-900000000-499000000*2+2000000+11528000-108915000+SUMIF(Y$13:Y$154, "AB", P$13:P$154)-SUMIF(Y$159:Y$1048576, "AB", P$159:P$1048576)-251145999+SUMIF(Z$13:Z$154, "AB", Q$13:Q$154)-SUMIF(Z$159:Z$1048576, "AB", Q$159:Q$1048576)-243450000+20000000+100000000-850000000-9979200+SUMIF(AA$13:AA$154, "AB", R$13:R$154)-SUMIF(AA$159:AA$1048576, "AB", R$159:R$1048576)+SUMIF(AB$13:AB$154, "AB", S$13:S$154)-SUMIF(AB$159:AB$1048576, "AB", S$159:S$1048576)-200000000-200000000</f>
        <v>4048958201</v>
      </c>
      <c r="AE11">
        <f>202405291+50000000-250000000-SUMIF(U$159:U$1048576, "VT", L$159:L$1048576)+SUMIF(U$13:U$154, "VT", L$13:L$154)+AD14-AD15+SUMIF(V$13:V$154, "VT", M$13:M$154)-SUMIF(V$159:V$1048576, "VT", M$159:M$1048576)-AD80+AD123-AD130-AD131+AD139+AD142-1500000000-378690000-AD146-400000000+469893910+SUMIF(W$13:W$154, "VT", N$13:N$154)-SUMIF(W$159:W$1048576, "VT", N$159:N$1048576)-50000000-200000000-20000000+500000000+SUMIF(X$13:X$154, "VT", O$13:O$154)-SUMIF(X$159:X$1048576, "VT", O$159:O$1048576)-300000000-122939260+302841540+900000000-1400000000-100000000+499000000*2-1000000000+213000+267000-420000+108915000-60000000+145223550+SUMIF(Y$13:Y$154, "VT", P$13:P$154)-SUMIF(Y$159:Y$1048576, "VT", P$159:P$1048576)-700000000+251145999-1000000000+2797467+1000000+SUMIF(Z$13:Z$154, "VT", Q$13:Q$154)-SUMIF(Z$159:Z$1048576, "VT", Q$159:Q$1048576)-20000000-50000000-100000000-30000000+850000000+9979200-39635334-105521333-26580000+SUMIF(AA$13:AA$154, "VT", R$13:R$154)-SUMIF(AA$159:AA$1048576, "VT", R$159:R$1048576)-100000000+3095000+24245000+SUMIF(AB$13:AB$154, "VT", S$13:S$154)-SUMIF(AB$159:AB$1048576, "VT", S$159:S$1048576)+200000000+200000000-4930000</f>
        <v>1015263883.1851854</v>
      </c>
      <c r="AF11">
        <f>204815861+8630606+250000000+4800000-SUMIF(U:U, "CN", L:L)+AD79+SUMIF(V$13:V$154, "CN", M$13:M$154)-SUMIF(V$159:V$1048576, "CN", M$159:M$1048576)+AD80+AD130+AD131-30000000+AD146+400000000+SUMIF(W$13:W$154, "CN", N$13:N$154)-SUMIF(W$159:W$1048576, "CN", N$159:N$1048576)+200000000-6117500+20000000+82066909+SUMIF(X$13:X$154, "CN", O$13:O$154)-SUMIF(X$159:X$1048576, "CN", O$159:O$1048576)+300000000+2954000+4500000-1470000-9265000+100000000-18000000-213000-2000000-11528000+150668000+60000000-145223550+SUMIF(Y$13:Y$154, "CN", P$13:P$154)-SUMIF(Y$159:Y$1048576, "CN", P$159:P$1048576)-6000000+5000000-2797467-1000000+SUMIF(Z$13:Z$154, "CN", Q$13:Q$154)-SUMIF(Z$159:Z$1048576, "CN", Q$159:Q$1048576)+243450000+50000000+30000000+39635334+105521333+26580000+SUMIF(AA$13:AA$154, "CN", R$13:R$154)-SUMIF(AA$159:AA$1048576, "CN", R$159:R$1048576)+100000000-3095000-24245000+SUMIF(AB$13:AB$154, "CN", S$13:S$154)-SUMIF(AB$159:AB$1048576, "CN", S$159:S$1048576)+4930000</f>
        <v>15678332</v>
      </c>
      <c r="AG11">
        <f>+AD15-SUMIF(U:U, "TM", L:L)-AD79++SUMIF(V$13:V$154, "TM", M$13:M$154)-SUMIF(V$159:V$1048576, "TM", M$159:M$1048576)+30000000+SUMIF(W$13:W$154, "TM", N$13:N$154)-SUMIF(W$159:W$1048576, "TM", N$159:N$1048576)+SUMIF(X$13:X$154, "TM", O$13:O$154)-SUMIF(X$159:X$1048576, "TM", O$159:O$1048576)-2954000-4500000+1400000000+18000000+1000000000-267000+420000-150668000+SUMIF(Y$13:Y$154, "TM", P$13:P$154)-SUMIF(Y$159:Y$1048576, "TM", P$159:P$1048576)+700000000+1000000000+6000000-5000000+SUMIF(Z$13:Z$154, "TM", Q$13:Q$154)-SUMIF(Z$159:Z$1048576, "TM", Q$159:Q$1048576)+SUMIF(AA$13:AA$154, "TM", R$13:R$154)-SUMIF(AA$159:AA$1048576, "TM", R$159:R$1048576)+SUMIF(AB$13:AB$154, "TM", S$13:S$154)-SUMIF(AB$159:AB$1048576, "TM", S$159:S$1048576)</f>
        <v>0</v>
      </c>
      <c r="AH11">
        <f>+SUM(AD11:AG11)</f>
        <v>5079900416.185185</v>
      </c>
      <c r="AI11">
        <f>+AH11-T12</f>
        <v>0.9999990463256836</v>
      </c>
    </row>
    <row r="12">
      <c r="B12" t="str">
        <v>Tiền mặt Hiện có (đầu tháng)</v>
      </c>
      <c r="C12" t="str">
        <v>Công nợ NA+HQ</v>
      </c>
      <c r="D12">
        <f>+D15+D79</f>
        <v>12270196307</v>
      </c>
      <c r="K12">
        <f>6784347624+185128497+716305998-977814-1500000-4167501+150000+8630606-10000000-79000-923600590</f>
        <v>6754237820</v>
      </c>
      <c r="L12">
        <f>+K526</f>
        <v>1264927210</v>
      </c>
      <c r="M12">
        <f>+L526</f>
        <v>382498780</v>
      </c>
      <c r="N12">
        <f>+M526</f>
        <v>1266453635</v>
      </c>
      <c r="O12">
        <f>+N526</f>
        <v>3413915911.5185184</v>
      </c>
      <c r="P12">
        <f>+O526</f>
        <v>2479076117.5185184</v>
      </c>
      <c r="Q12">
        <f>+P526</f>
        <v>1737775976.5185184</v>
      </c>
      <c r="R12">
        <f>+Q526</f>
        <v>542819136.1851864</v>
      </c>
      <c r="S12">
        <f>+R526</f>
        <v>1768715041.1851864</v>
      </c>
      <c r="T12">
        <f>+S526</f>
        <v>5079900415.185186</v>
      </c>
      <c r="U12">
        <v>10</v>
      </c>
      <c r="V12">
        <v>11</v>
      </c>
      <c r="W12">
        <v>12</v>
      </c>
      <c r="X12">
        <v>1</v>
      </c>
      <c r="Y12">
        <v>2</v>
      </c>
      <c r="Z12">
        <v>3</v>
      </c>
      <c r="AA12">
        <v>4</v>
      </c>
      <c r="AB12">
        <v>5</v>
      </c>
      <c r="AD12" t="str">
        <v>AB</v>
      </c>
      <c r="AE12" t="str">
        <v>VT</v>
      </c>
      <c r="AF12" t="str">
        <v>CN</v>
      </c>
      <c r="AG12" t="str">
        <v>TM</v>
      </c>
    </row>
    <row r="13">
      <c r="T13" t="str">
        <v>Tiền mặt còn lại</v>
      </c>
    </row>
    <row r="14">
      <c r="B14" t="str">
        <v>Dòng tiền Thu vào</v>
      </c>
      <c r="C14">
        <f>+C15+C79+C115+C120</f>
        <v>42176380997</v>
      </c>
      <c r="D14">
        <f>+D15+D79+D112+D123+D115</f>
        <v>12270196307</v>
      </c>
      <c r="AC14" t="str">
        <v>Lưu chuyển</v>
      </c>
      <c r="AD14">
        <f>499000000*4+350000000</f>
        <v>2346000000</v>
      </c>
      <c r="AE14">
        <v>22000</v>
      </c>
    </row>
    <row r="15">
      <c r="A15">
        <v>1</v>
      </c>
      <c r="B15" t="str">
        <v>Công Nợ Công ty Ngọc Anh</v>
      </c>
      <c r="C15">
        <f>+SUM(C44:C77)</f>
        <v>31207958857</v>
      </c>
      <c r="D15" cm="1">
        <f t="array" ref="D15">SUMPRODUCT(IF(C16:C77&lt;D16:D77, C16:C77, D16:D77), --ISNUMBER(C16:C77), --ISNUMBER(D16:D77))</f>
        <v>8249868007</v>
      </c>
      <c r="E15">
        <f>+SUM(E16:E27)</f>
        <v>45749.29</v>
      </c>
      <c r="F15">
        <f>+SUM(F16:F27)</f>
        <v>761578000</v>
      </c>
      <c r="G15">
        <f>+SUM(G16:G27)</f>
        <v>115000</v>
      </c>
      <c r="H15">
        <f>+SUM(H16:H27)</f>
        <v>8469045220</v>
      </c>
      <c r="I15">
        <f>+SUM(I16:I27)</f>
        <v>75179536.66666663</v>
      </c>
      <c r="J15">
        <f>+SUM(J16:J27)</f>
        <v>342308100.33333313</v>
      </c>
      <c r="K15">
        <f>+SUM(K16:K78)</f>
        <v>399000000</v>
      </c>
      <c r="L15">
        <f>+SUM(L16:L78)</f>
        <v>3793489645</v>
      </c>
      <c r="M15">
        <f>+SUM(M16:M78)</f>
        <v>3776555575</v>
      </c>
      <c r="N15">
        <f>+SUM(N16:N78)</f>
        <v>4818022691</v>
      </c>
      <c r="O15">
        <f>+SUM(O16:O78)</f>
        <v>5959894649</v>
      </c>
      <c r="P15">
        <f>+SUM(P16:P78)</f>
        <v>3370575297</v>
      </c>
      <c r="Q15">
        <f>+SUM(Q16:Q78)</f>
        <v>6149184850</v>
      </c>
      <c r="R15">
        <f>+SUM(R16:R78)</f>
        <v>8422193860</v>
      </c>
      <c r="S15">
        <f>+SUM(S16:S78)</f>
        <v>5756269790</v>
      </c>
      <c r="T15">
        <f>+SUM(T16:T78)</f>
        <v>0</v>
      </c>
      <c r="AC15">
        <f>+R15+R79</f>
        <v>10122193860</v>
      </c>
      <c r="AD15">
        <v>2200000000</v>
      </c>
    </row>
    <row r="16">
      <c r="B16" t="str">
        <v>HD58</v>
      </c>
      <c r="C16">
        <f>+E16*F16</f>
        <v>799147900</v>
      </c>
      <c r="D16">
        <f>+H16-SUM(K16:T16)</f>
        <v>0</v>
      </c>
      <c r="E16">
        <v>4700.87</v>
      </c>
      <c r="F16">
        <v>170000</v>
      </c>
      <c r="H16">
        <f>+(G16+F16)/1.08*E16*1.08</f>
        <v>799147899.9999999</v>
      </c>
      <c r="I16">
        <f>+(H16-C16)/1.08*13%</f>
        <v>-1.434926633481626e-8</v>
      </c>
      <c r="J16">
        <f>+(H16-C16)-(H16-C16)/1.08*13%</f>
        <v>-1.0486002321596499e-7</v>
      </c>
      <c r="K16">
        <v>399000000</v>
      </c>
      <c r="L16">
        <v>400147900</v>
      </c>
      <c r="T16" t="str">
        <v>-</v>
      </c>
    </row>
    <row r="17">
      <c r="B17" t="str">
        <v>HD60</v>
      </c>
      <c r="C17">
        <f>+E17*F17</f>
        <v>376556800</v>
      </c>
      <c r="D17">
        <f>+H17-SUM(K17:T17)</f>
        <v>0</v>
      </c>
      <c r="E17">
        <v>4706.96</v>
      </c>
      <c r="F17">
        <v>80000</v>
      </c>
      <c r="G17">
        <v>9000</v>
      </c>
      <c r="H17">
        <f>+(G17+F17)/1.08*E17*1.08</f>
        <v>418919440</v>
      </c>
      <c r="I17">
        <f>+(H17-C17)/1.08*12%</f>
        <v>4706959.999999999</v>
      </c>
      <c r="J17">
        <f>+(H17-C17)-(H17-C17)/1.08*12%</f>
        <v>37655680</v>
      </c>
      <c r="L17">
        <v>418919440</v>
      </c>
      <c r="T17" t="str">
        <v>-</v>
      </c>
    </row>
    <row r="18">
      <c r="B18" t="str">
        <v>HD62</v>
      </c>
      <c r="C18">
        <f>+E18*F18</f>
        <v>528244450.00000006</v>
      </c>
      <c r="D18">
        <f>+H18-SUM(K18:T18)</f>
        <v>0</v>
      </c>
      <c r="E18">
        <v>4593.43</v>
      </c>
      <c r="F18">
        <v>115000</v>
      </c>
      <c r="G18">
        <v>9000</v>
      </c>
      <c r="H18">
        <f>+(G18+F18)/1.08*E18*1.08</f>
        <v>569585320</v>
      </c>
      <c r="I18">
        <f>+(H18-C18)/1.08*12%</f>
        <v>4593429.999999993</v>
      </c>
      <c r="J18">
        <f>+(H18-C18)-(H18-C18)/1.08*12%</f>
        <v>36747439.99999995</v>
      </c>
      <c r="L18">
        <v>569585320</v>
      </c>
      <c r="T18" t="str">
        <v>-</v>
      </c>
    </row>
    <row r="19">
      <c r="B19" t="str">
        <v>HD64</v>
      </c>
      <c r="C19">
        <f>+E19*F19</f>
        <v>692584740</v>
      </c>
      <c r="D19">
        <f>+H19-SUM(K19:T19)</f>
        <v>0</v>
      </c>
      <c r="E19">
        <v>4003.38</v>
      </c>
      <c r="F19">
        <v>173000</v>
      </c>
      <c r="G19">
        <v>26000</v>
      </c>
      <c r="H19">
        <f>+(G19+F19)/1.08*E19*1.08</f>
        <v>796672620</v>
      </c>
      <c r="I19">
        <f>+(H19-C19)/1.08*17%</f>
        <v>16384203.333333332</v>
      </c>
      <c r="J19">
        <f>+(H19-C19)-(H19-C19)/1.08*17%</f>
        <v>87703676.66666667</v>
      </c>
      <c r="L19">
        <f>607347340+189325280</f>
        <v>796672620</v>
      </c>
      <c r="T19" t="str">
        <v>-</v>
      </c>
    </row>
    <row r="20">
      <c r="B20" t="str">
        <v>HD65</v>
      </c>
      <c r="C20">
        <f>+E20*F20</f>
        <v>809164300</v>
      </c>
      <c r="D20">
        <f>+H20-SUM(K20:T20)</f>
        <v>0</v>
      </c>
      <c r="E20">
        <v>4759.79</v>
      </c>
      <c r="F20">
        <v>170000</v>
      </c>
      <c r="H20">
        <f>+(G20+F20)/1.08*E20*1.08</f>
        <v>809164300</v>
      </c>
      <c r="I20">
        <f>+(H20-C20)/1.08*13%</f>
        <v>0</v>
      </c>
      <c r="J20">
        <f>+(H20-C20)-(H20-C20)/1.08*13%</f>
        <v>0</v>
      </c>
      <c r="L20">
        <f>610164365+198999935</f>
        <v>809164300</v>
      </c>
      <c r="T20" t="str">
        <v>-</v>
      </c>
    </row>
    <row r="21">
      <c r="B21" t="str">
        <v>HD66</v>
      </c>
      <c r="C21">
        <f>+E21*F21</f>
        <v>300000000</v>
      </c>
      <c r="D21">
        <f>+H21-SUM(K21:T21)</f>
        <v>0</v>
      </c>
      <c r="E21">
        <v>1</v>
      </c>
      <c r="F21">
        <v>300000000</v>
      </c>
      <c r="H21">
        <f>+(G21+F21)/1.08*E21*1.08</f>
        <v>299999999.99999994</v>
      </c>
      <c r="I21">
        <v>0</v>
      </c>
      <c r="J21">
        <v>-92592593.00000006</v>
      </c>
      <c r="L21">
        <v>300000000</v>
      </c>
      <c r="T21" t="str">
        <v>-</v>
      </c>
      <c r="U21" t="str">
        <v>AB</v>
      </c>
    </row>
    <row r="22">
      <c r="B22" t="str">
        <v>HD67</v>
      </c>
      <c r="C22">
        <f>+E22*F22</f>
        <v>854118000.0000001</v>
      </c>
      <c r="D22">
        <f>+H22-SUM(K22:T22)</f>
        <v>0</v>
      </c>
      <c r="E22">
        <v>4745.1</v>
      </c>
      <c r="F22">
        <v>180000</v>
      </c>
      <c r="G22">
        <v>19000</v>
      </c>
      <c r="H22">
        <f>+(G22+F22)/1.08*E22*1.08</f>
        <v>944274900</v>
      </c>
      <c r="I22">
        <f>+(H22-C22)/1.08*17%</f>
        <v>14191363.888888871</v>
      </c>
      <c r="J22">
        <f>+(H22-C22)-(H22-C22)/1.08*17%</f>
        <v>75965536.11111102</v>
      </c>
      <c r="L22">
        <v>499000065</v>
      </c>
      <c r="M22">
        <v>445274835</v>
      </c>
      <c r="T22" t="str">
        <v>-</v>
      </c>
      <c r="U22" t="str">
        <v>AB</v>
      </c>
      <c r="V22" t="str">
        <v>AB</v>
      </c>
    </row>
    <row r="23">
      <c r="B23" t="str">
        <v>HD69</v>
      </c>
      <c r="C23">
        <f>+E23*F23</f>
        <v>720964800</v>
      </c>
      <c r="D23">
        <f>+H23-SUM(K23:T23)</f>
        <v>0</v>
      </c>
      <c r="E23">
        <v>4005.36</v>
      </c>
      <c r="F23">
        <v>180000</v>
      </c>
      <c r="G23">
        <v>19000</v>
      </c>
      <c r="H23">
        <f>+(G23+F23)/1.08*E23*1.08</f>
        <v>797066640</v>
      </c>
      <c r="I23">
        <f>+(H23-C23)/1.08*17%</f>
        <v>11978993.333333332</v>
      </c>
      <c r="J23">
        <f>+(H23-C23)-(H23-C23)/1.08*17%</f>
        <v>64122846.66666667</v>
      </c>
      <c r="M23">
        <f>500000000+297066640</f>
        <v>797066640</v>
      </c>
      <c r="T23" t="str">
        <v>-</v>
      </c>
      <c r="V23" t="str">
        <v>AB</v>
      </c>
      <c r="W23" t="str">
        <v>AB</v>
      </c>
    </row>
    <row r="24">
      <c r="B24" t="str">
        <v>HD71</v>
      </c>
      <c r="C24">
        <f>+E24*F24</f>
        <v>714945000</v>
      </c>
      <c r="D24">
        <f>+H24-SUM(K24:T24)</f>
        <v>0</v>
      </c>
      <c r="E24">
        <v>4766.3</v>
      </c>
      <c r="F24">
        <v>150000</v>
      </c>
      <c r="G24">
        <v>14000</v>
      </c>
      <c r="H24">
        <f>+(G24+F24)/1.08*E24*1.08</f>
        <v>781673200.0000001</v>
      </c>
      <c r="I24">
        <f>+(H24-C24)/1.08*15%</f>
        <v>9267805.55555557</v>
      </c>
      <c r="J24">
        <f>+(H24-C24)-(H24-C24)/1.08*15%</f>
        <v>57460394.44444455</v>
      </c>
      <c r="M24">
        <f>499000000+282673200</f>
        <v>781673200</v>
      </c>
      <c r="T24" t="str">
        <v>-</v>
      </c>
      <c r="V24" t="str">
        <v>AB</v>
      </c>
      <c r="W24" t="str">
        <v>AB</v>
      </c>
    </row>
    <row r="25">
      <c r="B25" t="str">
        <v>HD7273</v>
      </c>
      <c r="C25">
        <f>+E25*F25</f>
        <v>460000000</v>
      </c>
      <c r="D25">
        <f>+H25-SUM(K25:T25)</f>
        <v>0</v>
      </c>
      <c r="E25">
        <v>1</v>
      </c>
      <c r="F25">
        <v>460000000</v>
      </c>
      <c r="H25">
        <f>+(G25+F25)/1.08*E25*1.08</f>
        <v>460000000</v>
      </c>
      <c r="I25">
        <f>+(H25-C25)/1.08*15%</f>
        <v>0</v>
      </c>
      <c r="J25">
        <f>+(H25-C25)-(H25-C25)/1.08*15%</f>
        <v>0</v>
      </c>
      <c r="M25">
        <v>460000000</v>
      </c>
      <c r="T25" t="str">
        <v>-</v>
      </c>
      <c r="V25" t="str">
        <v>AB</v>
      </c>
    </row>
    <row r="26">
      <c r="B26" t="str">
        <v>HD74</v>
      </c>
      <c r="C26">
        <f>+E26*F26</f>
        <v>893019000.0000001</v>
      </c>
      <c r="D26">
        <f>+H26-SUM(K26:T26)</f>
        <v>0</v>
      </c>
      <c r="E26">
        <v>4700.1</v>
      </c>
      <c r="F26">
        <v>190000</v>
      </c>
      <c r="G26">
        <v>19000</v>
      </c>
      <c r="H26">
        <f>+(G26+F26)/1.08*E26*1.08</f>
        <v>982320900.0000001</v>
      </c>
      <c r="I26">
        <f>+(H26-C26)/1.08*17%</f>
        <v>14056780.555555554</v>
      </c>
      <c r="J26">
        <f>+(H26-C26)-(H26-C26)/1.08*17%</f>
        <v>75245119.44444445</v>
      </c>
      <c r="M26">
        <v>982320900</v>
      </c>
      <c r="T26" t="str">
        <v>-</v>
      </c>
      <c r="V26" t="str">
        <v>AB</v>
      </c>
    </row>
    <row r="27">
      <c r="B27" t="str">
        <v>HD75</v>
      </c>
      <c r="C27">
        <f>+E27*F27</f>
        <v>810220000</v>
      </c>
      <c r="D27">
        <f>+H27-SUM(K27:T27)</f>
        <v>0</v>
      </c>
      <c r="E27">
        <v>4766</v>
      </c>
      <c r="F27">
        <v>170000</v>
      </c>
      <c r="H27">
        <f>+(G27+F27)/1.08*E27*1.08</f>
        <v>810220000</v>
      </c>
      <c r="I27">
        <f>+(H27-C27)/1.08*13%</f>
        <v>0</v>
      </c>
      <c r="J27">
        <f>+(H27-C27)-(H27-C27)/1.08*13%</f>
        <v>0</v>
      </c>
      <c r="M27">
        <v>810220000</v>
      </c>
      <c r="T27" t="str">
        <v>-</v>
      </c>
      <c r="V27" t="str">
        <v>AB</v>
      </c>
      <c r="AC27" t="str">
        <v>8/12</v>
      </c>
    </row>
    <row r="28">
      <c r="B28" t="str">
        <v>HD 77 VG05 Đá Hòn La - Dung Quất</v>
      </c>
      <c r="C28">
        <f>+E28*F28</f>
        <v>310326480</v>
      </c>
      <c r="D28">
        <f>+H28-SUM(K28:T28)</f>
        <v>0</v>
      </c>
      <c r="E28">
        <v>3879.081</v>
      </c>
      <c r="F28">
        <v>80000</v>
      </c>
      <c r="G28">
        <v>12000</v>
      </c>
      <c r="H28">
        <f>+(G28+F28)/1.08*E28*1.08</f>
        <v>356875452</v>
      </c>
      <c r="I28">
        <f>+(H28-C28)/1.08*15%</f>
        <v>6465135</v>
      </c>
      <c r="J28">
        <f>+(H28-C28)-(H28-C28)/1.08*15%</f>
        <v>40083837</v>
      </c>
      <c r="N28">
        <v>356875452</v>
      </c>
      <c r="T28" t="str">
        <v>-</v>
      </c>
      <c r="W28" t="str">
        <v>AB</v>
      </c>
      <c r="AC28">
        <f>499000000*2+402000000+312287753</f>
        <v>1712287753</v>
      </c>
    </row>
    <row r="29">
      <c r="B29" t="str">
        <v>HD 79 VG09 Xỉ mịn Dung Quất - HCM</v>
      </c>
      <c r="C29">
        <f>+E29*F29</f>
        <v>619790160</v>
      </c>
      <c r="D29">
        <f>+H29-SUM(K29:T29)</f>
        <v>0</v>
      </c>
      <c r="E29">
        <v>4695.38</v>
      </c>
      <c r="F29">
        <v>132000</v>
      </c>
      <c r="G29">
        <v>9000</v>
      </c>
      <c r="H29">
        <f>+(G29+F29)/1.08*E29*1.08</f>
        <v>662048580</v>
      </c>
      <c r="I29">
        <f>+(H29-C29)/1.08*13%</f>
        <v>5086661.666666667</v>
      </c>
      <c r="J29">
        <f>+(H29-C29)-(H29-C29)/1.08*13%</f>
        <v>37171758.333333336</v>
      </c>
      <c r="N29">
        <v>662048580</v>
      </c>
      <c r="T29" t="str">
        <v>-</v>
      </c>
      <c r="W29" t="str">
        <v>AB</v>
      </c>
      <c r="AC29" t="str">
        <v>9/12</v>
      </c>
    </row>
    <row r="30">
      <c r="B30" t="str">
        <v>HD 80 VG15 Clinker Chân Mây - Hậu Giang</v>
      </c>
      <c r="C30">
        <f>+E30*F30</f>
        <v>660346400</v>
      </c>
      <c r="D30">
        <f>+H30-SUM(K30:T30)</f>
        <v>0</v>
      </c>
      <c r="E30">
        <v>4716.76</v>
      </c>
      <c r="F30">
        <v>140000</v>
      </c>
      <c r="G30">
        <v>7000</v>
      </c>
      <c r="H30">
        <f>+(G30+F30)/1.08*E30*1.08</f>
        <v>693363720</v>
      </c>
      <c r="I30">
        <f>+(H30-C30)/1.08*13%</f>
        <v>3974307.037037037</v>
      </c>
      <c r="J30">
        <f>+(H30-C30)-(H30-C30)/1.08*13%</f>
        <v>29043012.962962963</v>
      </c>
      <c r="N30">
        <v>693363720</v>
      </c>
      <c r="T30" t="str">
        <v>-</v>
      </c>
      <c r="W30" t="str">
        <v>AB</v>
      </c>
      <c r="AC30">
        <v>1000000000</v>
      </c>
    </row>
    <row r="31">
      <c r="B31" t="str">
        <v>HD 83 VG36 Clinker Chân Mây - Hậu Giang</v>
      </c>
      <c r="C31">
        <f>+E31*F31</f>
        <v>669674600</v>
      </c>
      <c r="D31">
        <f>+H31-SUM(K31:T31)</f>
        <v>0</v>
      </c>
      <c r="E31">
        <v>4783.39</v>
      </c>
      <c r="F31">
        <v>140000</v>
      </c>
      <c r="G31">
        <v>7000</v>
      </c>
      <c r="H31">
        <f>+(G31+F31)/1.08*E31*1.08</f>
        <v>703158330.0000001</v>
      </c>
      <c r="I31">
        <f>+(H31-C31)/1.08*13%</f>
        <v>4030448.981481496</v>
      </c>
      <c r="J31">
        <f>+(H31-C31)-(H31-C31)/1.08*13%</f>
        <v>29453281.018518623</v>
      </c>
      <c r="N31">
        <v>703158330</v>
      </c>
      <c r="T31" t="str">
        <v>-</v>
      </c>
      <c r="W31" t="str">
        <v>AB</v>
      </c>
      <c r="AC31" t="str">
        <v>24/12</v>
      </c>
    </row>
    <row r="32">
      <c r="B32" t="str">
        <v>HD 86 VG05 Than Đồng Nai - Hòn La</v>
      </c>
      <c r="C32">
        <f>+E32*F32</f>
        <v>399789000</v>
      </c>
      <c r="D32">
        <f>+H32-SUM(K32:T32)</f>
        <v>0</v>
      </c>
      <c r="E32">
        <v>3701.75</v>
      </c>
      <c r="F32">
        <v>108000</v>
      </c>
      <c r="G32">
        <v>6000</v>
      </c>
      <c r="H32">
        <f>+(G32+F32)/1.08*E32*1.08</f>
        <v>421999500</v>
      </c>
      <c r="I32">
        <f>+(H32-C32)/1.08*13%</f>
        <v>2673486.111111111</v>
      </c>
      <c r="J32">
        <f>+(H32-C32)-(H32-C32)/1.08*13%</f>
        <v>19537013.888888888</v>
      </c>
      <c r="N32">
        <f>296841670+125157830</f>
        <v>421999500</v>
      </c>
      <c r="T32" t="str">
        <v>-</v>
      </c>
      <c r="W32" t="str">
        <v>AB</v>
      </c>
      <c r="AC32">
        <v>300000000</v>
      </c>
    </row>
    <row r="33">
      <c r="B33" t="str">
        <v>HD 87 VG15 Clinker Chân Mây - Hậu Giang</v>
      </c>
      <c r="C33">
        <f>+E33*F33</f>
        <v>664333600</v>
      </c>
      <c r="D33">
        <f>+H33-SUM(K33:T33)</f>
        <v>0</v>
      </c>
      <c r="E33">
        <v>4745.24</v>
      </c>
      <c r="F33">
        <v>140000</v>
      </c>
      <c r="G33">
        <v>7000</v>
      </c>
      <c r="H33">
        <f>+(G33+F33)/1.08*E33*1.08</f>
        <v>697550280</v>
      </c>
      <c r="I33">
        <f>+(H33-C33)/1.08*13%</f>
        <v>3998304.0740740737</v>
      </c>
      <c r="J33">
        <f>+(H33-C33)-(H33-C33)/1.08*13%</f>
        <v>29218375.925925925</v>
      </c>
      <c r="N33">
        <f>174842170+522708110</f>
        <v>697550280</v>
      </c>
      <c r="T33" t="str">
        <v>-</v>
      </c>
      <c r="W33" t="str">
        <v>AB</v>
      </c>
      <c r="AC33" t="str">
        <v>26/12</v>
      </c>
    </row>
    <row r="34">
      <c r="B34" t="str">
        <v>HD89 VG09 Xỉ Sơn Dương - Cần Thơ</v>
      </c>
      <c r="C34">
        <f>+E34*F34</f>
        <v>854280000</v>
      </c>
      <c r="D34">
        <f>+H34-SUM(K34:T34)</f>
        <v>0</v>
      </c>
      <c r="E34">
        <v>4746</v>
      </c>
      <c r="F34">
        <v>180000</v>
      </c>
      <c r="G34">
        <v>29000</v>
      </c>
      <c r="H34">
        <f>+(G34+F34)/1.08*E34*1.08</f>
        <v>991914000</v>
      </c>
      <c r="I34">
        <f>+(H34-C34)/1.08*20%</f>
        <v>25487777.777777776</v>
      </c>
      <c r="J34">
        <f>+(H34-C34)-(H34-C34)/1.08*20%</f>
        <v>112146222.22222222</v>
      </c>
      <c r="N34">
        <f>457291890+534622110</f>
        <v>991914000</v>
      </c>
      <c r="W34" t="str">
        <v>AB</v>
      </c>
      <c r="AC34">
        <v>980000000</v>
      </c>
    </row>
    <row r="35">
      <c r="B35" t="str">
        <v>HD90 VG05 Xỉ Sơn Dương - Hậu Giang</v>
      </c>
      <c r="C35">
        <f>+E35*F35</f>
        <v>722700000</v>
      </c>
      <c r="D35">
        <f>+H35-SUM(K35:T35)</f>
        <v>0</v>
      </c>
      <c r="E35">
        <v>4015</v>
      </c>
      <c r="F35">
        <v>180000</v>
      </c>
      <c r="G35">
        <v>9000</v>
      </c>
      <c r="H35">
        <f>+(G35+F35)/1.08*E35*1.08</f>
        <v>758835000</v>
      </c>
      <c r="I35">
        <f>+(H35-C35)/1.08*13%</f>
        <v>4349583.333333333</v>
      </c>
      <c r="J35">
        <f>+(H35-C35)-(H35-C35)/1.08*13%</f>
        <v>31785416.666666668</v>
      </c>
      <c r="N35">
        <v>678152089</v>
      </c>
      <c r="P35">
        <v>80682911</v>
      </c>
      <c r="W35" t="str">
        <v>AB</v>
      </c>
      <c r="Y35" t="str">
        <v>VT</v>
      </c>
      <c r="AC35" t="str">
        <v>30/12</v>
      </c>
    </row>
    <row r="36">
      <c r="B36" t="str">
        <v>HD93 VG36 Clinker Chân Mây - Hậu Giang</v>
      </c>
      <c r="C36">
        <f>+E36*F36</f>
        <v>655743200</v>
      </c>
      <c r="D36">
        <f>+H36-SUM(K36:T36)</f>
        <v>0</v>
      </c>
      <c r="E36">
        <v>4683.88</v>
      </c>
      <c r="F36">
        <v>140000</v>
      </c>
      <c r="G36">
        <v>14000</v>
      </c>
      <c r="H36">
        <f>+(G36+F36)/1.08*E36*1.08</f>
        <v>721317520</v>
      </c>
      <c r="I36">
        <f>+(H36-C36)/1.08*15%</f>
        <v>9107544.444444444</v>
      </c>
      <c r="J36">
        <f>+(H36-C36)-(H36-C36)/1.08*15%</f>
        <v>56466775.55555555</v>
      </c>
      <c r="O36">
        <v>721317520</v>
      </c>
      <c r="X36" t="str">
        <v>AB</v>
      </c>
      <c r="AC36">
        <f>980000000+232774199</f>
        <v>1212774199</v>
      </c>
    </row>
    <row r="37">
      <c r="B37" t="str">
        <v>HD94 VG09 Gỗ Long An - Cửa Lò</v>
      </c>
      <c r="C37">
        <f>+E37*F37</f>
        <v>509259259</v>
      </c>
      <c r="D37">
        <f>+H37-SUM(K37:T37)</f>
        <v>0</v>
      </c>
      <c r="E37">
        <v>1</v>
      </c>
      <c r="F37">
        <v>509259259</v>
      </c>
      <c r="H37">
        <v>500000000</v>
      </c>
      <c r="J37">
        <f>+H37-F37</f>
        <v>-9259259</v>
      </c>
      <c r="O37">
        <v>500000000</v>
      </c>
      <c r="X37" t="str">
        <v>AB</v>
      </c>
      <c r="AC37" t="str">
        <v>16/1</v>
      </c>
    </row>
    <row r="38">
      <c r="B38" t="str">
        <v>HĐ96 VG15 Xỉ Sơn Dương - HCM</v>
      </c>
      <c r="C38">
        <f>+E38*F38</f>
        <v>819634210.0000001</v>
      </c>
      <c r="D38">
        <f>+H38-SUM(K38:T38)</f>
        <v>0</v>
      </c>
      <c r="E38">
        <v>4737.77</v>
      </c>
      <c r="F38">
        <v>173000</v>
      </c>
      <c r="G38">
        <v>6000</v>
      </c>
      <c r="H38">
        <f>+(G38+F38)/1.08*E38*1.08</f>
        <v>848060830</v>
      </c>
      <c r="I38">
        <f>+(H38-C38)/1.08*13%</f>
        <v>3421722.777777763</v>
      </c>
      <c r="J38">
        <f>+(H38-C38)-(H38-C38)/1.08*13%</f>
        <v>25004897.22222212</v>
      </c>
      <c r="O38">
        <v>848060830</v>
      </c>
      <c r="X38" t="str">
        <v>AB</v>
      </c>
      <c r="AC38">
        <f>499000000*4</f>
        <v>1996000000</v>
      </c>
    </row>
    <row r="39">
      <c r="B39" t="str">
        <v>HD97 VG18 Clinker Nghi Thiết - XM Thăng Long</v>
      </c>
      <c r="C39">
        <f>+E39*F39</f>
        <v>1439350200</v>
      </c>
      <c r="D39">
        <f>+H39-SUM(K39:T39)</f>
        <v>0</v>
      </c>
      <c r="E39">
        <v>7996.39</v>
      </c>
      <c r="F39">
        <v>180000</v>
      </c>
      <c r="G39">
        <v>14000</v>
      </c>
      <c r="H39">
        <f>+(G39+F39)/1.08*E39*1.08</f>
        <v>1551299660</v>
      </c>
      <c r="I39">
        <f>+(H39-C39)/1.08*15%</f>
        <v>15548536.11111111</v>
      </c>
      <c r="J39">
        <f>+(H39-C39)-(H39-C39)/1.08*15%</f>
        <v>96400923.8888889</v>
      </c>
      <c r="O39">
        <f>80682911+567256259+490000000+413360490</f>
        <v>1551299660</v>
      </c>
      <c r="X39" t="str">
        <v>AB</v>
      </c>
      <c r="AC39">
        <f>+AC38-O37-O38-O35</f>
        <v>647939170</v>
      </c>
    </row>
    <row r="40">
      <c r="B40" t="str">
        <v>HD98 VG18 Than Gò Gia - Trà Vinh</v>
      </c>
      <c r="C40">
        <f>+E40*F40</f>
        <v>540000000</v>
      </c>
      <c r="D40">
        <f>+H40-SUM(K40:T40)</f>
        <v>0</v>
      </c>
      <c r="E40">
        <v>1</v>
      </c>
      <c r="F40">
        <v>540000000</v>
      </c>
      <c r="G40">
        <v>55000000</v>
      </c>
      <c r="H40">
        <f>+(G40+F40)/1.08*E40*1.08</f>
        <v>595000000</v>
      </c>
      <c r="I40">
        <f>+(H40-C40)/1.08*15%</f>
        <v>7638888.888888888</v>
      </c>
      <c r="J40">
        <f>+(H40-C40)-(H40-C40)/1.08*15%</f>
        <v>47361111.11111111</v>
      </c>
      <c r="O40">
        <v>595000000</v>
      </c>
      <c r="X40" t="str">
        <v>AB</v>
      </c>
      <c r="AC40">
        <f>400000000+465440060+400000000+200000000+400000000</f>
        <v>1865440060</v>
      </c>
    </row>
    <row r="41">
      <c r="B41" t="str">
        <v>HD99 VG18 Than Gò Gia - Trà Vinh</v>
      </c>
      <c r="C41">
        <f>+E41*F41</f>
        <v>592274025</v>
      </c>
      <c r="D41">
        <f>+H41-SUM(K41:T41)</f>
        <v>0</v>
      </c>
      <c r="E41">
        <v>6267.45</v>
      </c>
      <c r="F41">
        <v>94500</v>
      </c>
      <c r="H41">
        <f>+(G41+F41)/1.08*E41*1.08</f>
        <v>592274025</v>
      </c>
      <c r="I41">
        <f>+(H41-C41)/1.08*13%</f>
        <v>0</v>
      </c>
      <c r="J41">
        <f>+(H41-C41)-(H41-C41)/1.08*13%</f>
        <v>0</v>
      </c>
      <c r="O41">
        <v>592274025</v>
      </c>
      <c r="X41" t="str">
        <v>AB</v>
      </c>
      <c r="AC41">
        <f>+AC40-O40-O41</f>
        <v>678166035</v>
      </c>
    </row>
    <row r="42">
      <c r="B42" t="str">
        <v>HD103 VG09 Xỉ Sơn Dương - Hậu Giang</v>
      </c>
      <c r="C42">
        <f>+E42*F42</f>
        <v>867969000</v>
      </c>
      <c r="D42">
        <f>+H42-SUM(K42:T42)</f>
        <v>0</v>
      </c>
      <c r="E42">
        <v>4743</v>
      </c>
      <c r="F42">
        <v>183000</v>
      </c>
      <c r="G42">
        <v>11000</v>
      </c>
      <c r="H42">
        <f>+(G42+F42)/1.08*E42*1.08</f>
        <v>920142000</v>
      </c>
      <c r="I42">
        <f>+(H42-C42)/1.08*15%</f>
        <v>7246249.999999999</v>
      </c>
      <c r="J42">
        <f>+(H42-C42)-(H42-C42)/1.08*15%</f>
        <v>44926750</v>
      </c>
      <c r="O42">
        <f>678166035+241975965</f>
        <v>920142000</v>
      </c>
      <c r="X42" t="str">
        <v>AB</v>
      </c>
      <c r="AC42">
        <v>473776579</v>
      </c>
    </row>
    <row r="43">
      <c r="B43" t="str">
        <v>HD104 VG36 Quặng Sắt Vĩnh Xương - Hải Phòng</v>
      </c>
      <c r="C43">
        <f>+E43*F43</f>
        <v>651117600</v>
      </c>
      <c r="D43">
        <f>+H43-SUM(K43:T43)</f>
        <v>0</v>
      </c>
      <c r="E43">
        <v>4650.84</v>
      </c>
      <c r="F43">
        <v>140000</v>
      </c>
      <c r="H43">
        <f>+(G43+F43)/1.08*E43*1.08</f>
        <v>651117600</v>
      </c>
      <c r="I43">
        <f>+(H43-C43)/1.08*15%</f>
        <v>0</v>
      </c>
      <c r="J43">
        <f>+(H43-C43)-(H43-C43)/1.08*15%</f>
        <v>0</v>
      </c>
      <c r="O43">
        <v>231800614</v>
      </c>
      <c r="P43">
        <v>419316986</v>
      </c>
      <c r="X43" t="str">
        <v>AB</v>
      </c>
      <c r="Y43" t="str">
        <v>AB</v>
      </c>
      <c r="AC43">
        <v>241975965</v>
      </c>
    </row>
    <row r="44">
      <c r="B44" t="str">
        <v>HD1 VG36 Xỉ Hà Tĩnh - HCM</v>
      </c>
      <c r="C44">
        <f>+E44*F44</f>
        <v>825037000</v>
      </c>
      <c r="D44">
        <f>+H44-SUM(K44:T44)</f>
        <v>0</v>
      </c>
      <c r="E44">
        <v>4769</v>
      </c>
      <c r="F44">
        <v>173000</v>
      </c>
      <c r="G44">
        <v>10000</v>
      </c>
      <c r="H44">
        <f>+(G44+F44)/1.08*E44*1.08</f>
        <v>872727000.0000001</v>
      </c>
      <c r="I44">
        <f>+(H44-C44)/1.08*28%</f>
        <v>12364074.074074104</v>
      </c>
      <c r="J44">
        <f>+(H44-C44)-(H44-C44)/1.08*28%</f>
        <v>35325925.925926015</v>
      </c>
      <c r="P44">
        <v>872727000</v>
      </c>
      <c r="Y44" t="str">
        <v>AB</v>
      </c>
      <c r="AC44">
        <f>+AC42-AC43</f>
        <v>231800614</v>
      </c>
    </row>
    <row r="45">
      <c r="B45" t="str">
        <v>HD3 VG15 Xỉ Sơn Dương - Hậu Giang</v>
      </c>
      <c r="C45">
        <f>+E45*F45</f>
        <v>880962000</v>
      </c>
      <c r="D45">
        <f>+H45-SUM(K45:T45)</f>
        <v>0</v>
      </c>
      <c r="E45">
        <v>4814</v>
      </c>
      <c r="F45">
        <v>183000</v>
      </c>
      <c r="G45">
        <v>10000</v>
      </c>
      <c r="H45">
        <f>+(G45+F45)/1.08*E45*1.08</f>
        <v>929101999.9999999</v>
      </c>
      <c r="I45">
        <f>+(H45-C45)/1.08*28%</f>
        <v>12480740.74074071</v>
      </c>
      <c r="J45">
        <f>+(H45-C45)-(H45-C45)/1.08*28%</f>
        <v>35659259.25925917</v>
      </c>
      <c r="P45">
        <f>677956001+251145999</f>
        <v>929102000</v>
      </c>
      <c r="Y45" t="str">
        <v>AB</v>
      </c>
      <c r="AC45">
        <f>499999987+490000000*3</f>
        <v>1969999987</v>
      </c>
    </row>
    <row r="46">
      <c r="B46" t="str">
        <v>HD7 VG18 Tro ẩm Vĩnh Tân - Nghi Sơn</v>
      </c>
      <c r="C46">
        <f>+E46*F46</f>
        <v>695643200</v>
      </c>
      <c r="D46">
        <f>+H46-SUM(K46:T46)</f>
        <v>0</v>
      </c>
      <c r="E46">
        <v>7322.56</v>
      </c>
      <c r="F46">
        <v>95000</v>
      </c>
      <c r="G46">
        <v>0</v>
      </c>
      <c r="H46">
        <f>+(G46+F46)/1.08*E46*1.08</f>
        <v>695643200.0000001</v>
      </c>
      <c r="I46">
        <f>+(H46-C46)/1.08*28%</f>
        <v>3.09061121057581e-8</v>
      </c>
      <c r="J46">
        <f>+(H46-C46)-(H46-C46)/1.08*28%</f>
        <v>8.830317744502314e-8</v>
      </c>
      <c r="P46">
        <v>695643200</v>
      </c>
      <c r="Y46" t="str">
        <v>VT</v>
      </c>
      <c r="AC46">
        <f>+P44</f>
        <v>872727000</v>
      </c>
    </row>
    <row r="47">
      <c r="B47" t="str">
        <v>HD10 VG09 Xỉ Sơn Dương - HCM</v>
      </c>
      <c r="C47">
        <f>+E47*F47</f>
        <v>845150400</v>
      </c>
      <c r="D47">
        <f>+H47-SUM(K47:T47)</f>
        <v>0</v>
      </c>
      <c r="E47">
        <v>4695.28</v>
      </c>
      <c r="F47">
        <v>180000</v>
      </c>
      <c r="G47">
        <v>10000</v>
      </c>
      <c r="H47">
        <f>+(G47+F47)/1.08*E47*1.08</f>
        <v>892103200</v>
      </c>
      <c r="I47">
        <f>+(H47-C47)/1.08*28%</f>
        <v>12172948.14814815</v>
      </c>
      <c r="J47">
        <f>+(H47-C47)-(H47-C47)/1.08*28%</f>
        <v>34779851.85185185</v>
      </c>
      <c r="P47">
        <v>873103200</v>
      </c>
      <c r="Q47">
        <v>19000000</v>
      </c>
      <c r="Y47" t="str">
        <v>VT</v>
      </c>
      <c r="Z47" t="str">
        <v>AB</v>
      </c>
      <c r="AC47">
        <f>+P43</f>
        <v>419316986</v>
      </c>
    </row>
    <row r="48">
      <c r="B48" t="str">
        <v>HD12 VG15  Xỉ  Sơn Dương - Hậu Giang</v>
      </c>
      <c r="C48">
        <f>+E48*F48</f>
        <v>928330000</v>
      </c>
      <c r="D48">
        <f>+H48-SUM(K48:T48)</f>
        <v>0</v>
      </c>
      <c r="E48">
        <v>4810</v>
      </c>
      <c r="F48">
        <v>193000</v>
      </c>
      <c r="G48">
        <v>10000</v>
      </c>
      <c r="H48">
        <f>+(G48+F48)/1.08*E48*1.08</f>
        <v>976430000</v>
      </c>
      <c r="I48">
        <f>+(H48-C48)/1.08*28%</f>
        <v>12470370.370370371</v>
      </c>
      <c r="J48">
        <f>+(H48-C48)-(H48-C48)/1.08*28%</f>
        <v>35629629.62962963</v>
      </c>
      <c r="Q48">
        <f>486430000+490000000</f>
        <v>976430000</v>
      </c>
      <c r="Z48" t="str">
        <v>AB</v>
      </c>
      <c r="AC48">
        <f>490000000*3+430575400</f>
        <v>1900575400</v>
      </c>
    </row>
    <row r="49">
      <c r="B49" t="str">
        <v>HD13 VG18 Clinker Nghi Sơn - HCM</v>
      </c>
      <c r="C49">
        <f>+E49*F49</f>
        <v>1463258850</v>
      </c>
      <c r="D49">
        <f>+H49-SUM(K49:T49)</f>
        <v>0</v>
      </c>
      <c r="E49">
        <v>7995.95</v>
      </c>
      <c r="F49">
        <v>183000</v>
      </c>
      <c r="G49">
        <v>10000</v>
      </c>
      <c r="H49">
        <f>+(G49+F49)/1.08*E49*1.08</f>
        <v>1543218349.9999998</v>
      </c>
      <c r="I49">
        <f>+(H49-C49)/1.08*28%</f>
        <v>20730240.74074068</v>
      </c>
      <c r="J49">
        <f>+(H49-C49)-(H49-C49)/1.08*28%</f>
        <v>59229259.25925908</v>
      </c>
      <c r="Q49">
        <f>499000000+300000000+400000000+344218350</f>
        <v>1543218350</v>
      </c>
      <c r="Z49" t="str">
        <v>AB</v>
      </c>
      <c r="AC49">
        <v>251145999</v>
      </c>
    </row>
    <row r="50">
      <c r="B50" t="str">
        <v>HD14 VG05  Xỉ  Sơn Dương - Hậu Giang</v>
      </c>
      <c r="C50">
        <f>+E50*F50</f>
        <v>893784000</v>
      </c>
      <c r="D50">
        <f>+H50-SUM(K50:T50)</f>
        <v>0</v>
      </c>
      <c r="E50">
        <v>4008</v>
      </c>
      <c r="F50">
        <f>193000+30000</f>
        <v>223000</v>
      </c>
      <c r="G50">
        <v>8000</v>
      </c>
      <c r="H50">
        <f>+(G50+F50)/1.08*E50*1.08</f>
        <v>925848000</v>
      </c>
      <c r="I50">
        <f>+(H50-C50)/1.08*28%</f>
        <v>8312888.888888889</v>
      </c>
      <c r="J50">
        <f>+(H50-C50)-(H50-C50)/1.08*28%</f>
        <v>23751111.111111112</v>
      </c>
      <c r="Q50">
        <f>490000000+435848000</f>
        <v>925848000</v>
      </c>
      <c r="Z50" t="str">
        <v>AB</v>
      </c>
      <c r="AC50">
        <f>+D35-P48</f>
        <v>0</v>
      </c>
    </row>
    <row r="51">
      <c r="B51" t="str">
        <v>HD15 VG36 Gỗ Long An - Cửa Lò</v>
      </c>
      <c r="C51">
        <f>+E51*F51</f>
        <v>320000000</v>
      </c>
      <c r="D51">
        <f>+H51-SUM(K51:T51)</f>
        <v>0</v>
      </c>
      <c r="E51">
        <v>1</v>
      </c>
      <c r="F51">
        <v>320000000</v>
      </c>
      <c r="H51">
        <f>+(G51+F51)/1.08*E51*1.08</f>
        <v>320000000</v>
      </c>
      <c r="I51">
        <f>+(H51-C51)/1.08*28%</f>
        <v>0</v>
      </c>
      <c r="J51">
        <f>+(H51-C51)-(H51-C51)/1.08*28%</f>
        <v>0</v>
      </c>
      <c r="Q51">
        <v>320000000</v>
      </c>
      <c r="Z51" t="str">
        <v>AB</v>
      </c>
      <c r="AC51">
        <f>+P47-AC50</f>
        <v>873103200</v>
      </c>
    </row>
    <row r="52">
      <c r="B52" t="str">
        <v>HD17 VG09 Tro ẩm Vĩnh Tân - Nghi Sơn</v>
      </c>
      <c r="C52">
        <f>+E52*F52</f>
        <v>434767500</v>
      </c>
      <c r="D52">
        <f>+H52-SUM(K52:T52)</f>
        <v>0</v>
      </c>
      <c r="E52">
        <v>4576.5</v>
      </c>
      <c r="F52">
        <v>95000</v>
      </c>
      <c r="H52">
        <f>+(G52+F52)/1.08*E52*1.08</f>
        <v>434767500</v>
      </c>
      <c r="I52">
        <f>+(H52-C52)/1.08*28%</f>
        <v>0</v>
      </c>
      <c r="J52">
        <f>+(H52-C52)-(H52-C52)/1.08*28%</f>
        <v>0</v>
      </c>
      <c r="Q52">
        <v>434767500</v>
      </c>
      <c r="Z52" t="str">
        <v>AB</v>
      </c>
    </row>
    <row r="53">
      <c r="B53" t="str">
        <v>HD18 VG36 Xỉ Sơn Dương - Hậu Giang</v>
      </c>
      <c r="C53">
        <f>+E53*F53</f>
        <v>919066000</v>
      </c>
      <c r="D53">
        <f>+H53-SUM(K53:T53)</f>
        <v>0</v>
      </c>
      <c r="E53">
        <v>4762</v>
      </c>
      <c r="F53">
        <v>193000</v>
      </c>
      <c r="G53">
        <v>10000</v>
      </c>
      <c r="H53">
        <f>+(G53+F53)/1.08*E53*1.08</f>
        <v>966686000</v>
      </c>
      <c r="I53">
        <f>+(H53-C53)/1.08*28%</f>
        <v>12345925.925925925</v>
      </c>
      <c r="J53">
        <f>+(H53-C53)-(H53-C53)/1.08*28%</f>
        <v>35274074.074074075</v>
      </c>
      <c r="Q53">
        <f>900000000+66686000</f>
        <v>966686000</v>
      </c>
      <c r="Z53" t="str">
        <v>AB</v>
      </c>
      <c r="AC53">
        <f>490000000+400000000+139921000</f>
        <v>1029921000</v>
      </c>
    </row>
    <row r="54">
      <c r="B54" t="str">
        <v>HD21 VG09 Xỉ Sơn Dương - Hậu Giang</v>
      </c>
      <c r="C54">
        <f>+E54*F54</f>
        <v>915785000</v>
      </c>
      <c r="D54">
        <f>+H54-SUM(K54:T54)</f>
        <v>0</v>
      </c>
      <c r="E54">
        <v>4745</v>
      </c>
      <c r="F54">
        <v>193000</v>
      </c>
      <c r="G54">
        <v>10000</v>
      </c>
      <c r="H54">
        <f>+(G54+F54)/1.08*E54*1.08</f>
        <v>963235000</v>
      </c>
      <c r="I54">
        <f>+(H54-C54)/1.08*28%</f>
        <v>12301851.85185185</v>
      </c>
      <c r="J54">
        <f>+(H54-C54)-(H54-C54)/1.08*28%</f>
        <v>35148148.14814815</v>
      </c>
      <c r="Q54">
        <v>963235000</v>
      </c>
      <c r="Z54" t="str">
        <v>AB</v>
      </c>
      <c r="AC54">
        <f>+AC53-Q54</f>
        <v>66686000</v>
      </c>
    </row>
    <row r="55">
      <c r="B55" t="str">
        <v>HD22 VG36 Quặng Vĩnh Xương - Hải Phòng</v>
      </c>
      <c r="C55">
        <f>+E55*F55</f>
        <v>680724250</v>
      </c>
      <c r="D55">
        <f>+H55-SUM(K55:T55)</f>
        <v>-5800.000000119209</v>
      </c>
      <c r="E55">
        <v>4694.65</v>
      </c>
      <c r="F55">
        <v>145000</v>
      </c>
      <c r="G55">
        <v>0</v>
      </c>
      <c r="H55">
        <f>+(G55+F55)/1.08*E55*1.08</f>
        <v>680724249.9999999</v>
      </c>
      <c r="I55">
        <f>+(H55-C55)/1.08*28%</f>
        <v>-3.09061121057581e-8</v>
      </c>
      <c r="J55">
        <f>+(H55-C55)-(H55-C55)/1.08*28%</f>
        <v>-8.830317744502314e-8</v>
      </c>
      <c r="R55">
        <f>300000000+380730050</f>
        <v>680730050</v>
      </c>
      <c r="AA55" t="str">
        <v>AB</v>
      </c>
      <c r="AC55">
        <f>981202-435202</f>
        <v>546000</v>
      </c>
    </row>
    <row r="56">
      <c r="B56" t="str">
        <v>HD23 VG15 Xỉ Sơn Dương - Hậu Giang</v>
      </c>
      <c r="C56">
        <f>+E56*F56</f>
        <v>925628000</v>
      </c>
      <c r="D56">
        <f>+H56-SUM(K56:T56)</f>
        <v>0</v>
      </c>
      <c r="E56">
        <v>4796</v>
      </c>
      <c r="F56">
        <v>193000</v>
      </c>
      <c r="G56">
        <v>0</v>
      </c>
      <c r="H56">
        <f>+(G56+F56)/1.08*E56*1.08</f>
        <v>925628000</v>
      </c>
      <c r="I56">
        <f>+(H56-C56)/1.08*28%</f>
        <v>0</v>
      </c>
      <c r="J56">
        <f>+(H56-C56)-(H56-C56)/1.08*28%</f>
        <v>0</v>
      </c>
      <c r="R56">
        <f>200000000+300000000+425628000</f>
        <v>925628000</v>
      </c>
      <c r="AA56" t="str">
        <v>AB</v>
      </c>
      <c r="AC56">
        <v>425628000</v>
      </c>
    </row>
    <row r="57">
      <c r="B57" t="str">
        <v>HD24 VG18 Cliker Hòn La - Hậu Giang</v>
      </c>
      <c r="C57">
        <f>+E57*F57</f>
        <v>1494806250</v>
      </c>
      <c r="D57">
        <f>+H57-SUM(K57:T57)</f>
        <v>0</v>
      </c>
      <c r="E57">
        <v>7972.3</v>
      </c>
      <c r="F57">
        <v>187500</v>
      </c>
      <c r="G57">
        <v>0</v>
      </c>
      <c r="H57">
        <f>+(G57+F57)/1.08*E57*1.08</f>
        <v>1494806250</v>
      </c>
      <c r="I57">
        <f>+(H57-C57)/1.08*28%</f>
        <v>0</v>
      </c>
      <c r="J57">
        <f>+(H57-C57)-(H57-C57)/1.08*28%</f>
        <v>0</v>
      </c>
      <c r="R57">
        <f>980000000-425628000+490000000+450434250</f>
        <v>1494806250</v>
      </c>
      <c r="AA57" t="str">
        <v>AB</v>
      </c>
    </row>
    <row r="58">
      <c r="B58" t="str">
        <v>HD28 VG18 Xỉ Sơn Dương - HCM</v>
      </c>
      <c r="C58">
        <f>+E58*F58</f>
        <v>1599654000</v>
      </c>
      <c r="D58">
        <f>+H58-SUM(K58:T58)</f>
        <v>0</v>
      </c>
      <c r="E58">
        <v>7998.27</v>
      </c>
      <c r="F58">
        <v>200000</v>
      </c>
      <c r="G58">
        <v>25000</v>
      </c>
      <c r="H58">
        <f>+(G58+F58)/1.08*E58*1.08</f>
        <v>1799610750</v>
      </c>
      <c r="I58">
        <f>+(H58-C58)/1.08*28%</f>
        <v>51840638.88888889</v>
      </c>
      <c r="J58">
        <f>+(H58-C58)-(H58-C58)/1.08*28%</f>
        <v>148116111.1111111</v>
      </c>
      <c r="R58">
        <f>494594250-450434250+499000000+450000000+448610750+357840000</f>
        <v>1799610750</v>
      </c>
      <c r="AA58" t="str">
        <v>AB</v>
      </c>
    </row>
    <row r="59">
      <c r="B59" t="str">
        <v>HD29 VG09 Xỉ Sơn Dương - XM Tây Đô</v>
      </c>
      <c r="C59">
        <f>+E59*F59</f>
        <v>995400000</v>
      </c>
      <c r="D59">
        <f>+H59-SUM(K59:T59)</f>
        <v>0</v>
      </c>
      <c r="E59">
        <v>4740</v>
      </c>
      <c r="F59">
        <v>210000</v>
      </c>
      <c r="G59">
        <v>30000</v>
      </c>
      <c r="H59">
        <f>+(G59+F59)/1.08*E59*1.08</f>
        <v>1137600000</v>
      </c>
      <c r="I59">
        <f>+(H59-C59)/1.08*28%</f>
        <v>36866666.666666664</v>
      </c>
      <c r="J59">
        <f>+(H59-C59)-(H59-C59)/1.08*28%</f>
        <v>105333333.33333334</v>
      </c>
      <c r="R59">
        <f>400000000-357840000+448610750+646829250</f>
        <v>1137600000</v>
      </c>
      <c r="AA59" t="str">
        <v>AB</v>
      </c>
      <c r="AC59">
        <f>490000000*3</f>
        <v>1470000000</v>
      </c>
    </row>
    <row r="60">
      <c r="B60" t="str">
        <v>HD30 VG36 Clinker Hòn La - HCM</v>
      </c>
      <c r="C60">
        <f>+E60*F60</f>
        <v>923562900</v>
      </c>
      <c r="D60">
        <f>+H60-SUM(K60:T60)</f>
        <v>0</v>
      </c>
      <c r="E60">
        <v>4785.3</v>
      </c>
      <c r="F60">
        <v>193000</v>
      </c>
      <c r="G60">
        <v>0</v>
      </c>
      <c r="H60">
        <f>+(G60+F60)/1.08*E60*1.08</f>
        <v>923562900</v>
      </c>
      <c r="I60">
        <f>+(H60-C60)/1.08*28%</f>
        <v>0</v>
      </c>
      <c r="J60">
        <f>+(H60-C60)-(H60-C60)/1.08*28%</f>
        <v>0</v>
      </c>
      <c r="R60">
        <f>823170750+100392150</f>
        <v>923562900</v>
      </c>
      <c r="AA60" t="str">
        <v>AB</v>
      </c>
      <c r="AC60">
        <v>646829250</v>
      </c>
    </row>
    <row r="61">
      <c r="B61" t="str">
        <v>HD31 VG05 Than Quảng Ninh - Nghi Sơn</v>
      </c>
      <c r="C61">
        <f>+E61*F61</f>
        <v>346465800</v>
      </c>
      <c r="D61">
        <f>+H61-SUM(K61:T61)</f>
        <v>0</v>
      </c>
      <c r="E61">
        <v>3849.62</v>
      </c>
      <c r="F61">
        <v>90000</v>
      </c>
      <c r="G61">
        <v>0</v>
      </c>
      <c r="H61">
        <f>+(G61+F61)/1.08*E61*1.08</f>
        <v>346465800</v>
      </c>
      <c r="I61">
        <f>+(H61-C61)/1.08*28%</f>
        <v>0</v>
      </c>
      <c r="J61">
        <f>+(H61-C61)-(H61-C61)/1.08*28%</f>
        <v>0</v>
      </c>
      <c r="R61">
        <f>400000000-100392150+46857950</f>
        <v>346465800</v>
      </c>
      <c r="AA61" t="str">
        <v>AB</v>
      </c>
      <c r="AC61">
        <f>+AC59-AC60</f>
        <v>823170750</v>
      </c>
    </row>
    <row r="62">
      <c r="B62" t="str">
        <v>HD32 VG36 Than Gò Da - Đà Nẵng</v>
      </c>
      <c r="C62">
        <f>+E62*F62</f>
        <v>510000000</v>
      </c>
      <c r="D62">
        <f>+H62-SUM(K62:T62)</f>
        <v>0</v>
      </c>
      <c r="E62">
        <v>1</v>
      </c>
      <c r="F62">
        <v>510000000</v>
      </c>
      <c r="G62">
        <v>0</v>
      </c>
      <c r="H62">
        <f>+(G62+F62)/1.08*E62*1.08</f>
        <v>510000000</v>
      </c>
      <c r="I62">
        <f>+(H62-C62)/1.08*28%</f>
        <v>0</v>
      </c>
      <c r="J62">
        <f>+(H62-C62)-(H62-C62)/1.08*28%</f>
        <v>0</v>
      </c>
      <c r="R62">
        <f>213582260-46857950+343275690</f>
        <v>510000000</v>
      </c>
      <c r="AA62" t="str">
        <v>AB</v>
      </c>
    </row>
    <row r="63">
      <c r="B63" t="str">
        <v>HD33 VG05 Quặng Vĩnh Xương - Hải Phòng</v>
      </c>
      <c r="C63">
        <f>+E63*F63</f>
        <v>603790110</v>
      </c>
      <c r="D63">
        <f>+H63-SUM(K63:T63)</f>
        <v>0</v>
      </c>
      <c r="E63">
        <v>3998.61</v>
      </c>
      <c r="F63">
        <v>151000</v>
      </c>
      <c r="G63">
        <v>0</v>
      </c>
      <c r="H63">
        <f>+(G63+F63)/1.08*E63*1.08</f>
        <v>603790110</v>
      </c>
      <c r="I63">
        <f>+(H63-C63)/1.08*28%</f>
        <v>0</v>
      </c>
      <c r="J63">
        <f>+(H63-C63)-(H63-C63)/1.08*28%</f>
        <v>0</v>
      </c>
      <c r="R63">
        <f>490000000+457065800-343275690</f>
        <v>603790110</v>
      </c>
      <c r="AA63" t="str">
        <v>AB</v>
      </c>
    </row>
    <row r="64">
      <c r="B64" t="str">
        <v>HD34 VG15 Chân Mây - Hâụ Giang</v>
      </c>
      <c r="C64">
        <f>+E64*F64</f>
        <v>1116447400</v>
      </c>
      <c r="D64">
        <f>+H64-SUM(K64:T64)</f>
        <v>0</v>
      </c>
      <c r="E64">
        <v>4750.84</v>
      </c>
      <c r="F64">
        <v>235000</v>
      </c>
      <c r="G64">
        <v>0</v>
      </c>
      <c r="H64">
        <f>+(G64+F64)/1.08*E64*1.08</f>
        <v>1116447400</v>
      </c>
      <c r="I64">
        <f>+(H64-C64)/1.08*28%</f>
        <v>0</v>
      </c>
      <c r="J64">
        <f>+(H64-C64)-(H64-C64)/1.08*28%</f>
        <v>0</v>
      </c>
      <c r="S64">
        <v>1116447400</v>
      </c>
      <c r="AB64" t="str">
        <v>AB</v>
      </c>
    </row>
    <row r="65">
      <c r="B65" t="str">
        <v>HD35 VG18 Tôn Cuộn Gò Dầu - Hải Phòng</v>
      </c>
      <c r="C65">
        <f>+E65*F65</f>
        <v>1180433520</v>
      </c>
      <c r="D65">
        <f>+H65-SUM(K65:T65)</f>
        <v>0</v>
      </c>
      <c r="E65">
        <v>8030.16</v>
      </c>
      <c r="F65">
        <v>147000</v>
      </c>
      <c r="G65">
        <v>0</v>
      </c>
      <c r="H65">
        <f>+(G65+F65)/1.08*E65*1.08</f>
        <v>1180433519.9999998</v>
      </c>
      <c r="I65">
        <f>+(H65-C65)/1.08*28%</f>
        <v>-6.18122242115162e-8</v>
      </c>
      <c r="J65">
        <f>+(H65-C65)-(H65-C65)/1.08*28%</f>
        <v>-1.7660635489004629e-7</v>
      </c>
      <c r="S65">
        <v>1180433520</v>
      </c>
      <c r="AB65" t="str">
        <v>AB</v>
      </c>
    </row>
    <row r="66">
      <c r="B66" t="str">
        <v>HD37 VG05 Xỉ Sơn Dương - Hậu Giang</v>
      </c>
      <c r="C66">
        <f>+E66*F66</f>
        <v>1011241000</v>
      </c>
      <c r="D66">
        <f>+H66-SUM(K66:T66)</f>
        <v>0</v>
      </c>
      <c r="E66">
        <v>3997</v>
      </c>
      <c r="F66">
        <v>253000</v>
      </c>
      <c r="G66">
        <v>0</v>
      </c>
      <c r="H66">
        <f>+(G66+F66)/1.08*E66*1.08</f>
        <v>1011241000</v>
      </c>
      <c r="I66">
        <f>+(H66-C66)/1.08*28%</f>
        <v>0</v>
      </c>
      <c r="J66">
        <f>+(H66-C66)-(H66-C66)/1.08*28%</f>
        <v>0</v>
      </c>
      <c r="S66">
        <v>1011241000</v>
      </c>
      <c r="AB66" t="str">
        <v>AB</v>
      </c>
      <c r="AC66">
        <f>490000000*7+29388870</f>
        <v>3459388870</v>
      </c>
    </row>
    <row r="67">
      <c r="B67" t="str">
        <v>HD38 VG36 Xỉ Sơn Dương - HCM</v>
      </c>
      <c r="C67">
        <f>+E67*F67</f>
        <v>1159860870</v>
      </c>
      <c r="D67">
        <f>+H67-SUM(K67:T67)</f>
        <v>0</v>
      </c>
      <c r="E67">
        <v>4773.09</v>
      </c>
      <c r="F67">
        <v>243000</v>
      </c>
      <c r="G67">
        <v>0</v>
      </c>
      <c r="H67">
        <f>+(G67+F67)/1.08*E67*1.08</f>
        <v>1159860870</v>
      </c>
      <c r="I67">
        <f>+(H67-C67)/1.08*28%</f>
        <v>0</v>
      </c>
      <c r="J67">
        <f>+(H67-C67)-(H67-C67)/1.08*28%</f>
        <v>0</v>
      </c>
      <c r="S67">
        <v>1159860870</v>
      </c>
      <c r="AB67" t="str">
        <v>AB</v>
      </c>
    </row>
    <row r="68">
      <c r="B68" t="str">
        <v>HD42 VG09 Xỉ Sơn Dương - Hậu Giang</v>
      </c>
      <c r="C68">
        <f>+E68*F68</f>
        <v>1288287000</v>
      </c>
      <c r="D68">
        <f>+H68-SUM(K68:T68)</f>
        <v>0</v>
      </c>
      <c r="E68">
        <v>4719</v>
      </c>
      <c r="F68">
        <v>273000</v>
      </c>
      <c r="G68">
        <v>0</v>
      </c>
      <c r="H68">
        <f>+(G68+F68)/1.08*E68*1.08</f>
        <v>1288287000</v>
      </c>
      <c r="I68">
        <f>+(H68-C68)/1.08*28%</f>
        <v>0</v>
      </c>
      <c r="J68">
        <f>+(H68-C68)-(H68-C68)/1.08*28%</f>
        <v>0</v>
      </c>
      <c r="S68">
        <v>1288287000</v>
      </c>
      <c r="AB68" t="str">
        <v>AB</v>
      </c>
    </row>
    <row r="69">
      <c r="B69" t="str">
        <v>HD43 VG18 Xỉ Sơn Dương - Hậu Giang</v>
      </c>
      <c r="C69">
        <f>+E69*F69</f>
        <v>2010852000</v>
      </c>
      <c r="D69">
        <f>+H69-SUM(K69:T69)</f>
        <v>2010852000.0000002</v>
      </c>
      <c r="E69">
        <v>7794</v>
      </c>
      <c r="F69">
        <v>258000</v>
      </c>
      <c r="G69">
        <v>0</v>
      </c>
      <c r="H69">
        <f>+(G69+F69)/1.08*E69*1.08</f>
        <v>2010852000.0000002</v>
      </c>
      <c r="I69">
        <f>+(H69-C69)/1.08*28%</f>
        <v>6.18122242115162e-8</v>
      </c>
      <c r="J69">
        <f>+(H69-C69)-(H69-C69)/1.08*28%</f>
        <v>1.7660635489004629e-7</v>
      </c>
    </row>
    <row r="70">
      <c r="B70" t="str">
        <v>HD44 VG15 Xỉ Sơn Dương - Hậu Giang</v>
      </c>
      <c r="C70">
        <f>+E70*F70</f>
        <v>1213135000</v>
      </c>
      <c r="D70">
        <f>+H70-SUM(K70:T70)</f>
        <v>1213135000</v>
      </c>
      <c r="E70">
        <v>4795</v>
      </c>
      <c r="F70">
        <v>253000</v>
      </c>
      <c r="G70">
        <v>0</v>
      </c>
      <c r="H70">
        <f>+(G70+F70)/1.08*E70*1.08</f>
        <v>1213135000</v>
      </c>
      <c r="I70">
        <f>+(H70-C70)/1.08*28%</f>
        <v>0</v>
      </c>
      <c r="J70">
        <f>+(H70-C70)-(H70-C70)/1.08*28%</f>
        <v>0</v>
      </c>
    </row>
    <row r="71">
      <c r="B71" t="str">
        <v>HD45 VG05 Clinker - Chân Mây Hậu Giang</v>
      </c>
      <c r="C71">
        <f>+E71*F71</f>
        <v>841736700</v>
      </c>
      <c r="D71">
        <f>+H71-SUM(K71:T71)</f>
        <v>841736700</v>
      </c>
      <c r="E71">
        <v>4008.27</v>
      </c>
      <c r="F71">
        <v>210000</v>
      </c>
      <c r="G71">
        <v>0</v>
      </c>
      <c r="H71">
        <f>+(G71+F71)/1.08*E71*1.08</f>
        <v>841736700</v>
      </c>
      <c r="I71">
        <f>+(H71-C71)/1.08*28%</f>
        <v>0</v>
      </c>
      <c r="J71">
        <f>+(H71-C71)-(H71-C71)/1.08*28%</f>
        <v>0</v>
      </c>
    </row>
    <row r="72">
      <c r="B72" t="str">
        <v>HD46 VG36  Gỗ - Sài Gòn  - Đà Nẵng</v>
      </c>
      <c r="C72">
        <f>+E72*F72</f>
        <v>687807407</v>
      </c>
      <c r="D72">
        <f>+H72-SUM(K72:T72)</f>
        <v>687807407</v>
      </c>
      <c r="E72">
        <v>1</v>
      </c>
      <c r="F72">
        <v>687807407</v>
      </c>
      <c r="G72">
        <v>0</v>
      </c>
      <c r="H72">
        <f>+(G72+F72)/1.08*E72*1.08</f>
        <v>687807407</v>
      </c>
      <c r="I72">
        <f>+(H72-C72)/1.08*28%</f>
        <v>0</v>
      </c>
      <c r="J72">
        <f>+(H72-C72)-(H72-C72)/1.08*28%</f>
        <v>0</v>
      </c>
    </row>
    <row r="73">
      <c r="B73" t="str">
        <v>HD47 VG36  Clinker - Chân Mây Hậu Giang</v>
      </c>
      <c r="C73">
        <f>+E73*F73</f>
        <v>1004856300</v>
      </c>
      <c r="D73">
        <f>+H73-SUM(K73:T73)</f>
        <v>1004856299.9999999</v>
      </c>
      <c r="E73">
        <v>4785.03</v>
      </c>
      <c r="F73">
        <v>210000</v>
      </c>
      <c r="G73">
        <v>0</v>
      </c>
      <c r="H73">
        <f>+(G73+F73)/1.08*E73*1.08</f>
        <v>1004856299.9999999</v>
      </c>
      <c r="I73">
        <f>+(H73-C73)/1.08*28%</f>
        <v>-3.09061121057581e-8</v>
      </c>
      <c r="J73">
        <f>+(H73-C73)-(H73-C73)/1.08*28%</f>
        <v>-8.830317744502314e-8</v>
      </c>
    </row>
    <row r="74">
      <c r="B74" t="str">
        <v>HD48 VG18  Xỉ Sơn Dương - Hậu Giang</v>
      </c>
      <c r="C74">
        <f>+E74*F74</f>
        <v>1859256000</v>
      </c>
      <c r="D74">
        <f>+H74-SUM(K74:T74)</f>
        <v>1859256000</v>
      </c>
      <c r="E74">
        <v>7497</v>
      </c>
      <c r="F74">
        <v>248000</v>
      </c>
      <c r="G74">
        <v>0</v>
      </c>
      <c r="H74">
        <f>+(G74+F74)/1.08*E74*1.08</f>
        <v>1859256000</v>
      </c>
      <c r="I74">
        <f>+(H74-C74)/1.08*28%</f>
        <v>0</v>
      </c>
      <c r="J74">
        <f>+(H74-C74)-(H74-C74)/1.08*28%</f>
        <v>0</v>
      </c>
    </row>
    <row r="75">
      <c r="B75" t="str">
        <v>HD51 VG05  Quặng Vĩnh Xương - Hải Phòng</v>
      </c>
      <c r="C75">
        <f>+E75*F75</f>
        <v>632230400</v>
      </c>
      <c r="D75">
        <f>+H75-SUM(K75:T75)</f>
        <v>632230400.0000001</v>
      </c>
      <c r="E75">
        <v>3951.44</v>
      </c>
      <c r="F75">
        <v>160000</v>
      </c>
      <c r="G75">
        <v>0</v>
      </c>
      <c r="H75">
        <f>+(G75+F75)/1.08*E75*1.08</f>
        <v>632230400.0000001</v>
      </c>
      <c r="I75">
        <f>+(H75-C75)/1.08*28%</f>
        <v>3.09061121057581e-8</v>
      </c>
      <c r="J75">
        <f>+(H75-C75)-(H75-C75)/1.08*28%</f>
        <v>8.830317744502314e-8</v>
      </c>
    </row>
    <row r="77">
      <c r="C77">
        <f>+E77*F77</f>
        <v>0</v>
      </c>
      <c r="D77">
        <f>+H77-SUM(K77:P77)</f>
        <v>0</v>
      </c>
      <c r="H77">
        <f>+(G77+F77)/1.08*E77*1.08</f>
        <v>0</v>
      </c>
      <c r="I77">
        <f>+(H77-C77)/1.08*13%</f>
        <v>0</v>
      </c>
      <c r="J77">
        <f>+(H77-C77)-(H77-C77)/1.08*13%</f>
        <v>0</v>
      </c>
    </row>
    <row r="78">
      <c r="B78" t="str">
        <v>Tiền Gửi giá</v>
      </c>
      <c r="C78">
        <f>-SUM(J44:J77)-SUM(J95:J111)</f>
        <v>-880015555.5555552</v>
      </c>
      <c r="D78">
        <f>+C78-887311950-887039260-SUM(L78:P78)</f>
        <v>-1267327505.5555553</v>
      </c>
      <c r="M78">
        <f>-121310000-378690000</f>
        <v>-500000000</v>
      </c>
      <c r="N78">
        <f>-100000000-164100000-122939260</f>
        <v>-387039260</v>
      </c>
      <c r="P78">
        <v>-500000000</v>
      </c>
      <c r="T78" t="str">
        <v>-</v>
      </c>
      <c r="V78" t="str">
        <v>AB</v>
      </c>
      <c r="W78" t="str">
        <v>AB</v>
      </c>
      <c r="Y78" t="str">
        <v>TM</v>
      </c>
      <c r="AC78">
        <f>+P46+P47</f>
        <v>1568746400</v>
      </c>
    </row>
    <row r="79">
      <c r="A79">
        <v>2</v>
      </c>
      <c r="B79" t="str">
        <v>Công Nợ Công ty Hoàng Quyên</v>
      </c>
      <c r="C79">
        <f>+SUM(C95:C111)</f>
        <v>9196737300</v>
      </c>
      <c r="D79" cm="1">
        <f t="array" ref="D79">SUMPRODUCT(IF(C80:C111&lt;D80:D111, C80:C111, D80:D111), --ISNUMBER(C80:C111), --ISNUMBER(D80:D111))</f>
        <v>4020328300</v>
      </c>
      <c r="K79">
        <f>+SUM(K80:K111)</f>
        <v>200000000</v>
      </c>
      <c r="L79">
        <f>+SUM(L80:L111)</f>
        <v>500000000</v>
      </c>
      <c r="M79">
        <f>+SUM(M80:M111)</f>
        <v>2467378940</v>
      </c>
      <c r="N79">
        <f>+SUM(N80:N111)</f>
        <v>3640172040</v>
      </c>
      <c r="O79">
        <f>+SUM(O80:O111)</f>
        <v>1375444440</v>
      </c>
      <c r="P79">
        <f>+SUM(P80:P111)</f>
        <v>2321532000</v>
      </c>
      <c r="Q79">
        <f>+SUM(Q80:Q111)</f>
        <v>507305200</v>
      </c>
      <c r="R79">
        <f>+SUM(R80:R111)</f>
        <v>1700000000</v>
      </c>
      <c r="S79">
        <f>+SUM(S80:S111)</f>
        <v>1003675950</v>
      </c>
      <c r="T79">
        <f>+SUM(T80:T83)</f>
        <v>0</v>
      </c>
      <c r="AC79">
        <f>+AC48-AC49-AC78</f>
        <v>80683001</v>
      </c>
      <c r="AD79">
        <v>138878000</v>
      </c>
    </row>
    <row r="80">
      <c r="B80" t="str">
        <v>HD52</v>
      </c>
      <c r="C80">
        <f>+E80*F80</f>
        <v>247156000</v>
      </c>
      <c r="D80">
        <f>+H80-SUM(K80:T80)</f>
        <v>0</v>
      </c>
      <c r="E80">
        <v>4753</v>
      </c>
      <c r="F80">
        <v>52000</v>
      </c>
      <c r="G80">
        <v>0</v>
      </c>
      <c r="H80">
        <f>+(G80+F80)/1.08*E80*1.08</f>
        <v>247156000.00000003</v>
      </c>
      <c r="I80">
        <f>+(H80-C80)/1.08*15%</f>
        <v>4.1392114427354594e-9</v>
      </c>
      <c r="J80">
        <f>+(H80-C80)-(H80-C80)/1.08*15%</f>
        <v>2.5663110944959854e-8</v>
      </c>
      <c r="K80">
        <v>200000000</v>
      </c>
      <c r="L80">
        <v>47156000</v>
      </c>
      <c r="T80" t="str">
        <v>-</v>
      </c>
      <c r="AC80" t="str">
        <v>4/11</v>
      </c>
      <c r="AD80">
        <v>20000000</v>
      </c>
    </row>
    <row r="81">
      <c r="B81" t="str">
        <v>HD59</v>
      </c>
      <c r="C81">
        <f>+E81*F81</f>
        <v>532494000</v>
      </c>
      <c r="D81">
        <f>+H81-SUM(K81:T81)</f>
        <v>0</v>
      </c>
      <c r="E81">
        <v>3944.4</v>
      </c>
      <c r="F81">
        <v>135000</v>
      </c>
      <c r="G81">
        <f>169000-135000</f>
        <v>34000</v>
      </c>
      <c r="H81">
        <v>572615940</v>
      </c>
      <c r="I81">
        <f>+(H81-C81)/1.08*12%</f>
        <v>4457993.333333333</v>
      </c>
      <c r="J81">
        <f>+(H81-C81)-(H81-C81)/1.08*12%</f>
        <v>35663946.666666664</v>
      </c>
      <c r="L81">
        <f>152844000+300000000</f>
        <v>452844000</v>
      </c>
      <c r="M81">
        <v>119771940</v>
      </c>
      <c r="T81" t="str">
        <v>-</v>
      </c>
      <c r="V81" t="str">
        <v>AB</v>
      </c>
    </row>
    <row r="82">
      <c r="B82" t="str">
        <v>HD61</v>
      </c>
      <c r="C82">
        <f>+E82*F82</f>
        <v>632512800</v>
      </c>
      <c r="D82">
        <f>+H82-SUM(K82:T82)</f>
        <v>0</v>
      </c>
      <c r="E82">
        <v>4685.28</v>
      </c>
      <c r="F82">
        <v>135000</v>
      </c>
      <c r="G82">
        <f>155000-135000</f>
        <v>20000</v>
      </c>
      <c r="H82">
        <v>674871550</v>
      </c>
      <c r="I82">
        <f>+(H82-C82)/1.08*12%</f>
        <v>4706527.777777777</v>
      </c>
      <c r="J82">
        <f>+(H82-C82)-(H82-C82)/1.08*12%</f>
        <v>37652222.222222224</v>
      </c>
      <c r="M82">
        <f>300000000-119771940+494643490</f>
        <v>674871550</v>
      </c>
      <c r="T82" t="str">
        <v>-</v>
      </c>
      <c r="V82" t="str">
        <v>AB</v>
      </c>
      <c r="AC82">
        <f>494643490-412162800</f>
        <v>82480690</v>
      </c>
    </row>
    <row r="83">
      <c r="B83" t="str">
        <v>HD63</v>
      </c>
      <c r="C83">
        <f>+E83*F83</f>
        <v>250380000</v>
      </c>
      <c r="D83">
        <f>+H83-SUM(K83:T83)</f>
        <v>0</v>
      </c>
      <c r="E83">
        <v>4815</v>
      </c>
      <c r="F83">
        <v>52000</v>
      </c>
      <c r="G83">
        <v>0</v>
      </c>
      <c r="H83">
        <f>+(G83+F83)/1.08*E83*1.08</f>
        <v>250380000</v>
      </c>
      <c r="I83">
        <f>+(H83-C83)/1.08*15%</f>
        <v>0</v>
      </c>
      <c r="J83">
        <f>+(H83-C83)-(H83-C83)/1.08*15%</f>
        <v>0</v>
      </c>
      <c r="M83">
        <f>200000000+50380000</f>
        <v>250380000</v>
      </c>
      <c r="T83" t="str">
        <v>-</v>
      </c>
      <c r="V83" t="str">
        <v>AB</v>
      </c>
    </row>
    <row r="84">
      <c r="B84" t="str">
        <v>HD76 VG15 Cát Vĩnh Xương - Đà Nẵng</v>
      </c>
      <c r="C84">
        <f>+E84*F84</f>
        <v>581450000</v>
      </c>
      <c r="D84">
        <f>+H84-SUM(K84:T84)</f>
        <v>0</v>
      </c>
      <c r="E84">
        <v>4651.6</v>
      </c>
      <c r="F84">
        <v>125000</v>
      </c>
      <c r="G84">
        <v>30000</v>
      </c>
      <c r="H84">
        <v>772735450</v>
      </c>
      <c r="I84">
        <f>+(H84-C84)/1.08*20%</f>
        <v>35423231.481481485</v>
      </c>
      <c r="J84">
        <f>+(H84-C84)-(H84-C84)/1.08*20%</f>
        <v>155862218.5185185</v>
      </c>
      <c r="M84">
        <v>772735450</v>
      </c>
      <c r="T84" t="str">
        <v>-</v>
      </c>
      <c r="V84" t="str">
        <v>AB</v>
      </c>
      <c r="AC84">
        <f>200000000+49349310+M85+M86+M87+N88+N89+N90+N91+N92+N93+N94</f>
        <v>3256585950</v>
      </c>
    </row>
    <row r="85">
      <c r="B85" t="str">
        <v>HD78 VG36 Cát Vĩnh Xương -  Đà Nẵng</v>
      </c>
      <c r="C85">
        <f>+E85*F85</f>
        <v>620544600</v>
      </c>
      <c r="D85">
        <f>+H85-SUM(K85:T85)</f>
        <v>0</v>
      </c>
      <c r="E85">
        <v>4773.42</v>
      </c>
      <c r="F85">
        <v>130000</v>
      </c>
      <c r="G85">
        <v>25000</v>
      </c>
      <c r="H85">
        <v>753786700</v>
      </c>
      <c r="I85">
        <f>+(H85-C85)/1.08*20%</f>
        <v>24674462.962962963</v>
      </c>
      <c r="J85">
        <f>+(H85-C85)-(H85-C85)/1.08*20%</f>
        <v>108567637.03703704</v>
      </c>
      <c r="M85">
        <f>200000000-50380000+500000000</f>
        <v>649620000</v>
      </c>
      <c r="N85">
        <v>104166700</v>
      </c>
      <c r="T85" t="str">
        <v>-</v>
      </c>
      <c r="V85" t="str">
        <v>AB</v>
      </c>
      <c r="W85" t="str">
        <v>VT</v>
      </c>
      <c r="AC85">
        <v>302841540</v>
      </c>
    </row>
    <row r="86">
      <c r="B86" t="str">
        <v>HD81 VG05 Đá Dung Quất - Hậu giang</v>
      </c>
      <c r="C86">
        <f>+E86*F86</f>
        <v>520349700</v>
      </c>
      <c r="D86">
        <f>+H86-SUM(K86:T86)</f>
        <v>0</v>
      </c>
      <c r="E86">
        <v>4002.69</v>
      </c>
      <c r="F86">
        <v>130000</v>
      </c>
      <c r="G86">
        <v>0</v>
      </c>
      <c r="H86">
        <f>+(G86+F86)/1.08*E86*1.08</f>
        <v>520349700.00000006</v>
      </c>
      <c r="I86">
        <f>+(H86-C86)/1.08*15%</f>
        <v>8.278422885470919e-9</v>
      </c>
      <c r="J86">
        <f>+(H86-C86)-(H86-C86)/1.08*15%</f>
        <v>5.132622188991971e-8</v>
      </c>
      <c r="N86">
        <v>520349700</v>
      </c>
      <c r="T86" t="str">
        <v>-</v>
      </c>
      <c r="W86" t="str">
        <v>VT</v>
      </c>
      <c r="AC86">
        <f>+AC84-AC85</f>
        <v>2953744410</v>
      </c>
    </row>
    <row r="87">
      <c r="B87" t="str">
        <v>HD82 VG09 Cát Vĩnh Xương -  Đà Nẵng</v>
      </c>
      <c r="C87">
        <f>+E87*F87</f>
        <v>589966000</v>
      </c>
      <c r="D87">
        <f>+H87-SUM(K87:T87)</f>
        <v>0</v>
      </c>
      <c r="E87">
        <v>4538.2</v>
      </c>
      <c r="F87">
        <v>130000</v>
      </c>
      <c r="G87">
        <v>15000</v>
      </c>
      <c r="H87">
        <f>+(G87+F87)/1.08*E87*1.08</f>
        <v>658038999.9999999</v>
      </c>
      <c r="I87">
        <f>+(H87-C87)/1.08*15%</f>
        <v>9454583.333333315</v>
      </c>
      <c r="J87">
        <f>+(H87-C87)-(H87-C87)/1.08*15%</f>
        <v>58618416.66666657</v>
      </c>
      <c r="N87">
        <v>658039000</v>
      </c>
      <c r="T87" t="str">
        <v>-</v>
      </c>
      <c r="W87" t="str">
        <v>VT</v>
      </c>
      <c r="AC87">
        <v>658039000</v>
      </c>
    </row>
    <row r="88">
      <c r="B88" t="str">
        <v>HD84 VG15 Cát Vĩnh Xương -  Đà Nẵng</v>
      </c>
      <c r="C88">
        <f>+E88*F88</f>
        <v>581195000</v>
      </c>
      <c r="D88">
        <f>+H88-SUM(K88:T88)</f>
        <v>0</v>
      </c>
      <c r="E88">
        <v>4649.56</v>
      </c>
      <c r="F88">
        <v>125000</v>
      </c>
      <c r="G88">
        <v>20000</v>
      </c>
      <c r="H88">
        <v>667377000</v>
      </c>
      <c r="I88">
        <f>+(H88-C88)/1.08*17%</f>
        <v>13565685.185185187</v>
      </c>
      <c r="J88">
        <f>+(H88-C88)-(H88-C88)/1.08*17%</f>
        <v>72616314.8148148</v>
      </c>
      <c r="N88">
        <v>667377000</v>
      </c>
      <c r="T88" t="str">
        <v>-</v>
      </c>
      <c r="W88" t="str">
        <v>VT</v>
      </c>
      <c r="AC88">
        <v>264152760</v>
      </c>
    </row>
    <row r="89">
      <c r="B89" t="str">
        <v>HD88 VG36 Cát Vĩnh Xương - Đà Nẵng</v>
      </c>
      <c r="C89">
        <f>+E89*F89</f>
        <v>568960085.5555556</v>
      </c>
      <c r="D89">
        <f>+H89-SUM(K89:T89)</f>
        <v>0</v>
      </c>
      <c r="E89">
        <v>4551.6806844444445</v>
      </c>
      <c r="F89">
        <v>125000</v>
      </c>
      <c r="G89">
        <v>13000</v>
      </c>
      <c r="H89">
        <v>545039279.9999999</v>
      </c>
      <c r="J89">
        <f>+H89-C89</f>
        <v>-23920805.5555557</v>
      </c>
      <c r="N89">
        <v>545039280</v>
      </c>
      <c r="T89" t="str">
        <v>-</v>
      </c>
      <c r="W89" t="str">
        <v>VT</v>
      </c>
      <c r="AC89">
        <f>+C89/125000</f>
        <v>4551.6806844444445</v>
      </c>
    </row>
    <row r="90">
      <c r="B90" t="str">
        <v>HD92 VG15 Cát Vĩnh Xương - Đà Nẵng</v>
      </c>
      <c r="C90">
        <f>+E90*F90</f>
        <v>587003750</v>
      </c>
      <c r="D90">
        <f>+H90-SUM(K90:T90)</f>
        <v>0</v>
      </c>
      <c r="E90">
        <v>4696.03</v>
      </c>
      <c r="F90">
        <v>125000</v>
      </c>
      <c r="G90">
        <v>17000</v>
      </c>
      <c r="H90">
        <v>617498359.9999999</v>
      </c>
      <c r="I90">
        <f>+(H90-C90)/1.08*13%</f>
        <v>3670647.4999999856</v>
      </c>
      <c r="J90">
        <f>+(H90-C90)-(H90-C90)/1.08*13%</f>
        <v>26823962.499999896</v>
      </c>
      <c r="N90">
        <v>617498360</v>
      </c>
      <c r="T90" t="str">
        <v>-</v>
      </c>
      <c r="W90" t="str">
        <v>VT</v>
      </c>
      <c r="AC90">
        <f>667337000-176987510</f>
        <v>490349490</v>
      </c>
    </row>
    <row r="91">
      <c r="B91" t="str">
        <v>HD95 VG05 Cát Vĩnh Xương - Đà Nẵng</v>
      </c>
      <c r="C91">
        <f>+E91*F91</f>
        <v>486175000</v>
      </c>
      <c r="D91">
        <f>+H91-SUM(K91:T91)</f>
        <v>0</v>
      </c>
      <c r="E91">
        <v>3889.4</v>
      </c>
      <c r="F91">
        <v>125000</v>
      </c>
      <c r="G91">
        <v>15000</v>
      </c>
      <c r="H91">
        <v>527701999.99999994</v>
      </c>
      <c r="I91">
        <f>+(H91-C91)/1.08*15%</f>
        <v>5767638.88888888</v>
      </c>
      <c r="J91">
        <f>+(H91-C91)-(H91-C91)/1.08*15%</f>
        <v>35759361.11111106</v>
      </c>
      <c r="N91">
        <v>527702000</v>
      </c>
      <c r="W91" t="str">
        <v>VT</v>
      </c>
      <c r="AC91">
        <f>490000000+490000000+232774199</f>
        <v>1212774199</v>
      </c>
    </row>
    <row r="92">
      <c r="B92" t="str">
        <v>HD100 VG05 Đá Hòn La - Hậu Giang</v>
      </c>
      <c r="C92">
        <f>+E92*F92</f>
        <v>377460000</v>
      </c>
      <c r="D92">
        <f>+H92-SUM(K92:T92)</f>
        <v>0</v>
      </c>
      <c r="E92">
        <v>2097</v>
      </c>
      <c r="F92">
        <v>180000</v>
      </c>
      <c r="G92">
        <v>15000</v>
      </c>
      <c r="H92">
        <f>+(G92+F92)/1.08*E92*1.08</f>
        <v>408914999.99999994</v>
      </c>
      <c r="I92">
        <f>+(H92-C92)/1.08*15%</f>
        <v>4368749.999999992</v>
      </c>
      <c r="J92">
        <f>+(H92-C92)-(H92-C92)/1.08*15%</f>
        <v>27086249.999999948</v>
      </c>
      <c r="O92">
        <f>300000000+108915000</f>
        <v>408915000</v>
      </c>
      <c r="X92" t="str">
        <v>AB</v>
      </c>
      <c r="AC92">
        <v>1145200360</v>
      </c>
    </row>
    <row r="93">
      <c r="B93" t="str">
        <v>HD101 VG05 Clinker Hòn La - Hậu Giang</v>
      </c>
      <c r="C93">
        <f>+E93*F93</f>
        <v>326365200</v>
      </c>
      <c r="D93">
        <f>+H93-SUM(K93:T93)</f>
        <v>0</v>
      </c>
      <c r="E93">
        <v>1813.14</v>
      </c>
      <c r="F93">
        <v>180000</v>
      </c>
      <c r="G93">
        <v>15000</v>
      </c>
      <c r="H93">
        <f>+(G93+F93)/1.08*E93*1.08</f>
        <v>353562300</v>
      </c>
      <c r="I93">
        <f>+(H93-C93)/1.08*15%</f>
        <v>3777375</v>
      </c>
      <c r="J93">
        <f>+(H93-C93)-(H93-C93)/1.08*15%</f>
        <v>23419725</v>
      </c>
      <c r="O93">
        <v>353562300</v>
      </c>
      <c r="X93" t="str">
        <v>VT</v>
      </c>
      <c r="AC93">
        <v>35876316</v>
      </c>
    </row>
    <row r="94">
      <c r="B94" t="str">
        <v>HD102 VG15 Cát Vĩnh Xương - Đà Nẵng</v>
      </c>
      <c r="C94">
        <f>+E94*F94</f>
        <v>579823400</v>
      </c>
      <c r="D94">
        <f>+H94-SUM(K94:T94)</f>
        <v>0</v>
      </c>
      <c r="E94">
        <v>4460.18</v>
      </c>
      <c r="F94">
        <v>130000</v>
      </c>
      <c r="G94">
        <v>12000</v>
      </c>
      <c r="H94">
        <v>612967140</v>
      </c>
      <c r="I94">
        <f>+(H94-C94)/1.08*13%</f>
        <v>3989524.259259259</v>
      </c>
      <c r="J94">
        <f>+(H94-C94)-(H94-C94)/1.08*13%</f>
        <v>29154215.740740743</v>
      </c>
      <c r="O94">
        <v>612967140</v>
      </c>
      <c r="X94" t="str">
        <v>VT</v>
      </c>
      <c r="AC94">
        <f>+AC92-AC93-N92-N93</f>
        <v>1109324044</v>
      </c>
    </row>
    <row r="95">
      <c r="B95" t="str">
        <v>HD2 VG05 Cát Vĩnh Xương - Đà Nẵng</v>
      </c>
      <c r="C95">
        <f>+E95*F95</f>
        <v>490256250</v>
      </c>
      <c r="D95">
        <f>+H95-SUM(K95:T95)</f>
        <v>0</v>
      </c>
      <c r="E95">
        <v>3922.05</v>
      </c>
      <c r="F95">
        <v>125000</v>
      </c>
      <c r="G95">
        <v>13000</v>
      </c>
      <c r="H95">
        <f>+(G95+F95)/1.08*E95*1.08</f>
        <v>541242900</v>
      </c>
      <c r="I95">
        <f>+(H95-C95)/1.08*28%</f>
        <v>13218761.11111111</v>
      </c>
      <c r="J95">
        <f>+(H95-C95)-(H95-C95)/1.08*28%</f>
        <v>37767888.88888889</v>
      </c>
      <c r="P95">
        <v>541242900</v>
      </c>
      <c r="T95" t="str">
        <v>-</v>
      </c>
      <c r="Y95" t="str">
        <v>VT</v>
      </c>
      <c r="AC95">
        <v>1075444440</v>
      </c>
    </row>
    <row r="96">
      <c r="B96" t="str">
        <v>HD5 VG36 Cát Vĩnh Xương - Đà Nẵng</v>
      </c>
      <c r="C96">
        <f>+E96*F96</f>
        <v>596295700</v>
      </c>
      <c r="D96">
        <f>+H96-SUM(K96:T96)</f>
        <v>0</v>
      </c>
      <c r="E96">
        <v>4586.89</v>
      </c>
      <c r="F96">
        <v>130000</v>
      </c>
      <c r="G96">
        <f>+(4355.4*140000-E96*F96)/E96</f>
        <v>2934.515543211195</v>
      </c>
      <c r="H96">
        <f>+(G96+F96)/1.08*E96*1.08</f>
        <v>609756000</v>
      </c>
      <c r="I96">
        <f>+(H96-C96)/1.08*28%</f>
        <v>3489707.4074074076</v>
      </c>
      <c r="J96">
        <f>+(H96-C96)-(H96-C96)/1.08*28%</f>
        <v>9970592.592592593</v>
      </c>
      <c r="P96">
        <v>609756000</v>
      </c>
      <c r="Y96" t="str">
        <v>VT</v>
      </c>
      <c r="AC96">
        <v>108915000</v>
      </c>
    </row>
    <row r="97">
      <c r="B97" t="str">
        <v>HD6 VG09 Cát Vĩnh Xương - Đà Nẵng</v>
      </c>
      <c r="C97">
        <f>+E97*F97</f>
        <v>573185000</v>
      </c>
      <c r="D97">
        <f>+H97-SUM(K97:T97)</f>
        <v>0</v>
      </c>
      <c r="E97">
        <v>4585.48</v>
      </c>
      <c r="F97">
        <v>125000</v>
      </c>
      <c r="G97">
        <f>+(4313.67*130000-E97*F97)/E97</f>
        <v>-2705.910831581427</v>
      </c>
      <c r="H97">
        <f>+(G97+F97)/1.08*E97*1.08</f>
        <v>560777099.9999999</v>
      </c>
      <c r="I97">
        <f>+(H97-C97)/1.08*28%</f>
        <v>-3216862.9629629944</v>
      </c>
      <c r="J97">
        <f>+(H97-C97)-(H97-C97)/1.08*28%</f>
        <v>-9191037.037037125</v>
      </c>
      <c r="P97">
        <v>560777100</v>
      </c>
      <c r="Y97" t="str">
        <v>VT</v>
      </c>
      <c r="AC97">
        <v>353562300</v>
      </c>
    </row>
    <row r="98">
      <c r="B98" t="str">
        <v>HD8 VG15 Cát Vĩnh Xương - Đà Nẵng</v>
      </c>
      <c r="C98">
        <f>+E98*F98</f>
        <v>577403750</v>
      </c>
      <c r="D98">
        <f>+H98-SUM(K98:T98)</f>
        <v>0</v>
      </c>
      <c r="E98">
        <v>4619.23</v>
      </c>
      <c r="F98">
        <v>125000</v>
      </c>
      <c r="G98">
        <f>+(4407.58*140000-E98*F98)/E98</f>
        <v>8585.294518783434</v>
      </c>
      <c r="H98">
        <f>+(G98+F98)/1.08*E98*1.08</f>
        <v>617061199.9999999</v>
      </c>
      <c r="I98">
        <f>+(H98-C98)/1.08*28%</f>
        <v>10281561.11111108</v>
      </c>
      <c r="J98">
        <f>+(H98-C98)-(H98-C98)/1.08*28%</f>
        <v>29375888.8888888</v>
      </c>
      <c r="P98">
        <v>609756000</v>
      </c>
      <c r="Q98">
        <v>7305200</v>
      </c>
      <c r="Y98" t="str">
        <v>VT</v>
      </c>
      <c r="Z98" t="str">
        <v>VT</v>
      </c>
      <c r="AC98">
        <f>+AC95-AC96-AC97</f>
        <v>612967140</v>
      </c>
    </row>
    <row r="99">
      <c r="B99" t="str">
        <v>HD9 VG36 Clinker Hòn La - Hậu Giang</v>
      </c>
      <c r="C99">
        <f>+E99*F99</f>
        <v>872049900</v>
      </c>
      <c r="D99">
        <f>+H99-SUM(K99:T99)</f>
        <v>0</v>
      </c>
      <c r="E99">
        <v>4765.3</v>
      </c>
      <c r="F99">
        <v>183000</v>
      </c>
      <c r="G99">
        <v>0</v>
      </c>
      <c r="H99">
        <f>+(G99+F99)/1.08*E99*1.08</f>
        <v>872049900.0000001</v>
      </c>
      <c r="I99">
        <f>+(H99-C99)/1.08*28%</f>
        <v>3.09061121057581e-8</v>
      </c>
      <c r="J99">
        <f>+(H99-C99)-(H99-C99)/1.08*28%</f>
        <v>8.830317744502314e-8</v>
      </c>
      <c r="Q99">
        <v>500000000</v>
      </c>
      <c r="R99">
        <f>200000000+172049900</f>
        <v>372049900</v>
      </c>
      <c r="Z99" t="str">
        <v>VT</v>
      </c>
      <c r="AA99" t="str">
        <v>VT</v>
      </c>
      <c r="AC99">
        <f>1170533100+609756000</f>
        <v>1780289100</v>
      </c>
      <c r="AE99">
        <v>1716348876</v>
      </c>
    </row>
    <row r="100">
      <c r="B100" t="str">
        <v>HD11 VG05 Cát Vĩnh Xương - Đà Nẵng</v>
      </c>
      <c r="C100">
        <f>+E100*F100</f>
        <v>477002400</v>
      </c>
      <c r="D100">
        <f>+H100-SUM(K100:T100)</f>
        <v>0</v>
      </c>
      <c r="E100">
        <v>3975.02</v>
      </c>
      <c r="F100">
        <v>120000</v>
      </c>
      <c r="G100">
        <f>+(3675.4*135000-E100*F100)/E100</f>
        <v>4824.277613697541</v>
      </c>
      <c r="H100">
        <f>+(G100+F100)/1.08*E100*1.08</f>
        <v>496178999.99999994</v>
      </c>
      <c r="I100">
        <f>+(H100-C100)/1.08*28%</f>
        <v>4971711.111111096</v>
      </c>
      <c r="J100">
        <f>+(H100-C100)-(H100-C100)/1.08*28%</f>
        <v>14204888.888888843</v>
      </c>
      <c r="R100">
        <f>500000000-172049900+168228900</f>
        <v>496179000</v>
      </c>
      <c r="AA100" t="str">
        <v>VT</v>
      </c>
      <c r="AE100">
        <f>+AE99-AE11</f>
        <v>701084992.8148146</v>
      </c>
    </row>
    <row r="101">
      <c r="B101" t="str">
        <v>HD20 VG05 Cát Vĩnh Xương - Đà Nẵng</v>
      </c>
      <c r="C101">
        <f>+E101*F101</f>
        <v>475318800</v>
      </c>
      <c r="D101">
        <f>+H101-SUM(K101:T101)</f>
        <v>0</v>
      </c>
      <c r="E101">
        <v>3960.99</v>
      </c>
      <c r="F101">
        <v>120000</v>
      </c>
      <c r="G101">
        <v>15000</v>
      </c>
      <c r="H101">
        <f>+(G101+F101)/1.08*E101*1.08</f>
        <v>534733650</v>
      </c>
      <c r="I101">
        <f>+(H101-C101)/1.08*28%</f>
        <v>15403850.000000002</v>
      </c>
      <c r="J101">
        <f>+(H101-C101)-(H101-C101)/1.08*28%</f>
        <v>44011000</v>
      </c>
      <c r="R101">
        <v>534733650</v>
      </c>
      <c r="AA101" t="str">
        <v>VT</v>
      </c>
    </row>
    <row r="102">
      <c r="B102" t="str">
        <v>HD26 VG09 Cát Vĩnh Xương - Đà Nẵng</v>
      </c>
      <c r="C102">
        <f>+E102*F102</f>
        <v>552586800</v>
      </c>
      <c r="D102">
        <f>+H102-SUM(K102:T102)</f>
        <v>0</v>
      </c>
      <c r="E102">
        <v>4604.89</v>
      </c>
      <c r="F102">
        <v>120000</v>
      </c>
      <c r="G102">
        <v>20000</v>
      </c>
      <c r="H102">
        <f>+(G102+F102)/1.08*E102*1.08</f>
        <v>644684600</v>
      </c>
      <c r="I102">
        <f>+(H102-C102)/1.08*28%</f>
        <v>23877207.407407407</v>
      </c>
      <c r="J102">
        <f>+(H102-C102)-(H102-C102)/1.08*28%</f>
        <v>68220592.5925926</v>
      </c>
      <c r="R102">
        <f>1000000000-534733650-168228900</f>
        <v>297037450</v>
      </c>
      <c r="S102">
        <v>347647150</v>
      </c>
      <c r="AA102" t="str">
        <v>VT</v>
      </c>
      <c r="AB102" t="str">
        <v>VT</v>
      </c>
    </row>
    <row r="103">
      <c r="B103" t="str">
        <v>HD27 VG15 Cát Vĩnh Xương - Đà Nẵng</v>
      </c>
      <c r="C103">
        <f>+E103*F103</f>
        <v>562310400</v>
      </c>
      <c r="D103">
        <f>+H103-SUM(K103:T103)</f>
        <v>0</v>
      </c>
      <c r="E103">
        <v>4685.92</v>
      </c>
      <c r="F103">
        <v>120000</v>
      </c>
      <c r="G103">
        <v>20000</v>
      </c>
      <c r="H103">
        <f>+(G103+F103)/1.08*E103*1.08</f>
        <v>656028800</v>
      </c>
      <c r="I103">
        <f>+(H103-C103)/1.08*28%</f>
        <v>24297362.962962963</v>
      </c>
      <c r="J103">
        <f>+(H103-C103)-(H103-C103)/1.08*28%</f>
        <v>69421037.03703704</v>
      </c>
      <c r="S103">
        <v>656028800</v>
      </c>
      <c r="AB103" t="str">
        <v>VT</v>
      </c>
    </row>
    <row r="104">
      <c r="B104" t="str">
        <v>HD36 VG09 Cát Vĩnh Xương - Đà Nẵng</v>
      </c>
      <c r="C104">
        <f>+E104*F104</f>
        <v>688378499.9999999</v>
      </c>
      <c r="D104">
        <f>+H104-SUM(K104:T104)</f>
        <v>780162299.9999999</v>
      </c>
      <c r="E104">
        <v>4589.19</v>
      </c>
      <c r="F104">
        <v>150000</v>
      </c>
      <c r="G104">
        <v>20000</v>
      </c>
      <c r="H104">
        <f>+(G104+F104)/1.08*E104*1.08</f>
        <v>780162299.9999999</v>
      </c>
      <c r="I104">
        <f>+(H104-C104)/1.08*28%</f>
        <v>23795800.000000004</v>
      </c>
      <c r="J104">
        <f>+(H104-C104)-(H104-C104)/1.08*28%</f>
        <v>67988000</v>
      </c>
    </row>
    <row r="105">
      <c r="B105" t="str">
        <v>HD39 VG18 Than Quảng Ninh - Hòn La</v>
      </c>
      <c r="C105">
        <f>+E105*F105</f>
        <v>836162200</v>
      </c>
      <c r="D105">
        <f>+H105-SUM(K105:T105)</f>
        <v>836162200.0000001</v>
      </c>
      <c r="E105">
        <v>7814.6</v>
      </c>
      <c r="F105">
        <v>107000</v>
      </c>
      <c r="G105">
        <v>0</v>
      </c>
      <c r="H105">
        <f>+(G105+F105)/1.08*E105*1.08</f>
        <v>836162200.0000001</v>
      </c>
      <c r="I105">
        <f>+(H105-C105)/1.08*28%</f>
        <v>3.09061121057581e-8</v>
      </c>
      <c r="J105">
        <f>+(H105-C105)-(H105-C105)/1.08*28%</f>
        <v>8.830317744502314e-8</v>
      </c>
    </row>
    <row r="106">
      <c r="B106" t="str">
        <v>HD40 VG15 Cát Vĩnh Xương - Đà Nẵng</v>
      </c>
      <c r="C106">
        <f>+E106*F106</f>
        <v>679075600</v>
      </c>
      <c r="D106">
        <f>+H106-SUM(K106:T106)</f>
        <v>679075600</v>
      </c>
      <c r="E106">
        <v>4683.28</v>
      </c>
      <c r="F106">
        <v>145000</v>
      </c>
      <c r="G106">
        <v>0</v>
      </c>
      <c r="H106">
        <f>+(G106+F106)/1.08*E106*1.08</f>
        <v>679075600</v>
      </c>
      <c r="I106">
        <f>+(H106-C106)/1.08*28%</f>
        <v>0</v>
      </c>
      <c r="J106">
        <f>+(H106-C106)-(H106-C106)/1.08*28%</f>
        <v>0</v>
      </c>
    </row>
    <row r="107">
      <c r="B107" t="str">
        <v>HD41 VG05 Cát Vĩnh Xương - Đà Nẵng</v>
      </c>
      <c r="C107">
        <f>+E107*F107</f>
        <v>617121650</v>
      </c>
      <c r="D107">
        <f>+H107-SUM(K107:T107)</f>
        <v>617121649.9999999</v>
      </c>
      <c r="E107">
        <v>3981.43</v>
      </c>
      <c r="F107">
        <v>155000</v>
      </c>
      <c r="G107">
        <v>0</v>
      </c>
      <c r="H107">
        <f>+(G107+F107)/1.08*E107*1.08</f>
        <v>617121649.9999999</v>
      </c>
      <c r="I107">
        <f>+(H107-C107)/1.08*28%</f>
        <v>-3.09061121057581e-8</v>
      </c>
      <c r="J107">
        <f>+(H107-C107)-(H107-C107)/1.08*28%</f>
        <v>-8.830317744502314e-8</v>
      </c>
    </row>
    <row r="108">
      <c r="B108" t="str">
        <v>HD49 VG15 Cát Vĩnh Xương - Đà Nẵng</v>
      </c>
      <c r="C108">
        <f>+E108*F108</f>
        <v>612699100</v>
      </c>
      <c r="D108">
        <f>+H108-SUM(K108:T108)</f>
        <v>612699100</v>
      </c>
      <c r="E108">
        <v>4713.07</v>
      </c>
      <c r="F108">
        <v>130000</v>
      </c>
      <c r="G108">
        <v>0</v>
      </c>
      <c r="H108">
        <f>+(G108+F108)/1.08*E108*1.08</f>
        <v>612699100</v>
      </c>
      <c r="I108">
        <f>+(H108-C108)/1.08*28%</f>
        <v>0</v>
      </c>
      <c r="J108">
        <f>+(H108-C108)-(H108-C108)/1.08*28%</f>
        <v>0</v>
      </c>
    </row>
    <row r="109">
      <c r="B109" t="str">
        <v>HD52 VG36 Cát Vĩnh Xương - Đà Nẵng</v>
      </c>
      <c r="C109">
        <f>+E109*F109</f>
        <v>586891250</v>
      </c>
      <c r="D109">
        <f>+H109-SUM(K109:T109)</f>
        <v>586891250</v>
      </c>
      <c r="E109">
        <v>4695.13</v>
      </c>
      <c r="F109">
        <v>125000</v>
      </c>
      <c r="G109">
        <v>0</v>
      </c>
      <c r="H109">
        <f>+(G109+F109)/1.08*E109*1.08</f>
        <v>586891250</v>
      </c>
      <c r="I109">
        <f>+(H109-C109)/1.08*28%</f>
        <v>0</v>
      </c>
      <c r="J109">
        <f>+(H109-C109)-(H109-C109)/1.08*28%</f>
        <v>0</v>
      </c>
    </row>
    <row r="110">
      <c r="D110">
        <f>+H110-SUM(K110:T110)</f>
        <v>0</v>
      </c>
    </row>
    <row r="111">
      <c r="C111">
        <f>+E111*F111</f>
        <v>0</v>
      </c>
      <c r="D111">
        <f>+H111-SUM(K111:O111)</f>
        <v>0</v>
      </c>
      <c r="H111">
        <f>+(G111+F111)/1.08*E111*1.08</f>
        <v>0</v>
      </c>
      <c r="I111">
        <f>+(H111-C111)/1.08*15%</f>
        <v>0</v>
      </c>
      <c r="J111">
        <f>+(H111-C111)-(H111-C111)/1.08*13%</f>
        <v>0</v>
      </c>
      <c r="T111" t="str">
        <v>-</v>
      </c>
    </row>
    <row r="112">
      <c r="A112">
        <v>3</v>
      </c>
      <c r="B112" t="str">
        <v>Công Nợ Công ty Sông Hậu</v>
      </c>
      <c r="C112">
        <f>+SUM(C113)</f>
        <v>652932099.9999999</v>
      </c>
      <c r="D112">
        <f>+SUM(D113)</f>
        <v>0</v>
      </c>
      <c r="E112">
        <f>+SUM(E113)</f>
        <v>0</v>
      </c>
      <c r="F112">
        <f>+SUM(F113)</f>
        <v>0</v>
      </c>
      <c r="G112">
        <f>+SUM(G113)</f>
        <v>0</v>
      </c>
      <c r="H112">
        <f>+SUM(H113)</f>
        <v>0</v>
      </c>
      <c r="I112">
        <f>+SUM(I113)</f>
        <v>0</v>
      </c>
      <c r="J112">
        <f>+SUM(J113)</f>
        <v>0</v>
      </c>
      <c r="K112">
        <f>+SUM(K113)</f>
        <v>300000000</v>
      </c>
      <c r="L112">
        <f>+SUM(L113)</f>
        <v>352932100</v>
      </c>
      <c r="M112">
        <f>+SUM(M113)</f>
        <v>0</v>
      </c>
      <c r="N112">
        <f>+SUM(N113)</f>
        <v>0</v>
      </c>
      <c r="T112">
        <f>+SUM(T113)</f>
        <v>0</v>
      </c>
      <c r="AD112">
        <f>+AD15-AD79</f>
        <v>2061122000</v>
      </c>
    </row>
    <row r="113">
      <c r="B113" t="str">
        <v>HD68</v>
      </c>
      <c r="C113">
        <v>652932099.9999999</v>
      </c>
      <c r="D113">
        <f>+C113-SUM(E113:N113)</f>
        <v>0</v>
      </c>
      <c r="K113">
        <v>300000000</v>
      </c>
      <c r="L113">
        <v>352932100</v>
      </c>
      <c r="T113" t="str">
        <v>-</v>
      </c>
    </row>
    <row r="114">
      <c r="D114">
        <f>+C114-SUM(E114:N114)</f>
        <v>0</v>
      </c>
      <c r="T114" t="str">
        <v>-</v>
      </c>
    </row>
    <row r="115">
      <c r="A115">
        <v>4</v>
      </c>
      <c r="B115" t="str">
        <v>Công Nợ Công ty Bình Minh</v>
      </c>
      <c r="C115">
        <f>+SUM(C116:C117)</f>
        <v>1313435600</v>
      </c>
      <c r="D115">
        <f>+SUM(D116:D117)</f>
        <v>0</v>
      </c>
      <c r="K115">
        <f>+SUM(K116:K117)</f>
        <v>0</v>
      </c>
      <c r="L115">
        <f>+SUM(L116:L117)</f>
        <v>0</v>
      </c>
      <c r="M115">
        <f>+SUM(M116:M117)</f>
        <v>0</v>
      </c>
      <c r="N115">
        <f>+SUM(N116)</f>
        <v>0</v>
      </c>
      <c r="O115">
        <f>+SUM(O116:O119)</f>
        <v>638072000</v>
      </c>
      <c r="P115">
        <f>+SUM(P116:P119)</f>
        <v>200000000</v>
      </c>
      <c r="Q115">
        <f>+SUM(Q116:Q119)</f>
        <v>457863600</v>
      </c>
      <c r="R115">
        <f>+SUM(R116:R119)</f>
        <v>350000000</v>
      </c>
      <c r="S115">
        <f>+SUM(S116:S119)</f>
        <v>0</v>
      </c>
      <c r="T115">
        <f>+SUM(T116)</f>
        <v>0</v>
      </c>
    </row>
    <row r="116">
      <c r="B116" t="str">
        <v>HD 04 VG 05 Ckinker Chân Mây - Cần Thơ</v>
      </c>
      <c r="C116">
        <f>+E116*F116</f>
        <v>638072000</v>
      </c>
      <c r="D116">
        <f>+H116-SUM(K116:O116)</f>
        <v>0</v>
      </c>
      <c r="E116">
        <v>3987.95</v>
      </c>
      <c r="F116">
        <v>160000</v>
      </c>
      <c r="G116">
        <v>0</v>
      </c>
      <c r="H116">
        <f>+(G116+F116)/1.08*E116*1.08</f>
        <v>638072000</v>
      </c>
      <c r="I116">
        <f>+(H116-C116)/1.08*15%</f>
        <v>0</v>
      </c>
      <c r="J116">
        <f>+(H116-C116)-(H116-C116)/1.08*15%</f>
        <v>0</v>
      </c>
      <c r="O116">
        <f>300000000+338072000</f>
        <v>638072000</v>
      </c>
      <c r="T116" t="str">
        <v>-</v>
      </c>
      <c r="X116" t="str">
        <v>AB</v>
      </c>
    </row>
    <row r="117">
      <c r="B117" t="str">
        <v>HD 18 VG15 Quặng Vĩnh Xương - HP</v>
      </c>
      <c r="C117">
        <f>+E117*F117</f>
        <v>675363600</v>
      </c>
      <c r="D117">
        <f>+H117-SUM(K117:Q117)</f>
        <v>0</v>
      </c>
      <c r="E117">
        <v>4657.68</v>
      </c>
      <c r="F117">
        <v>145000</v>
      </c>
      <c r="G117">
        <v>0</v>
      </c>
      <c r="H117">
        <f>+(G117+F117)/1.08*E117*1.08</f>
        <v>675363600</v>
      </c>
      <c r="I117">
        <f>+(H117-C117)/1.08*15%</f>
        <v>0</v>
      </c>
      <c r="J117">
        <f>+(H117-C117)-(H117-C117)/1.08*15%</f>
        <v>0</v>
      </c>
      <c r="P117">
        <v>200000000</v>
      </c>
      <c r="Q117">
        <v>475363600</v>
      </c>
      <c r="Y117" t="str">
        <v>AB</v>
      </c>
      <c r="Z117" t="str">
        <v>AB</v>
      </c>
    </row>
    <row r="118">
      <c r="B118" t="str">
        <v>Hoàn chi phí Phao 50-50</v>
      </c>
      <c r="Q118">
        <v>-17500000</v>
      </c>
      <c r="Z118" t="str">
        <v>CN</v>
      </c>
    </row>
    <row r="119">
      <c r="B119" t="str">
        <v>HD50 VG09 Cát Vĩnh Xương - Huy Văn</v>
      </c>
      <c r="C119">
        <f>+E119*F119</f>
        <v>818640000</v>
      </c>
      <c r="D119">
        <f>+H119-SUM(K119:S119)</f>
        <v>468640000</v>
      </c>
      <c r="E119">
        <v>1</v>
      </c>
      <c r="F119">
        <v>818640000</v>
      </c>
      <c r="G119">
        <v>0</v>
      </c>
      <c r="H119">
        <f>+(G119+F119)/1.08*E119*1.08</f>
        <v>818640000</v>
      </c>
      <c r="I119">
        <f>+(H119-C119)/1.08*15%</f>
        <v>0</v>
      </c>
      <c r="J119">
        <f>+(H119-C119)-(H119-C119)/1.08*15%</f>
        <v>0</v>
      </c>
      <c r="R119">
        <f>50000000+300000000</f>
        <v>350000000</v>
      </c>
      <c r="AA119" t="str">
        <v>AB</v>
      </c>
    </row>
    <row r="120">
      <c r="A120">
        <v>5</v>
      </c>
      <c r="B120" t="str">
        <v>Công Nợ Công ty Việt Anh</v>
      </c>
      <c r="C120">
        <f>+SUM(C121:C122)</f>
        <v>458249240</v>
      </c>
      <c r="O120">
        <f>+SUM(O121)</f>
        <v>50000000</v>
      </c>
      <c r="P120">
        <f>+SUM(P121)</f>
        <v>408249240</v>
      </c>
      <c r="Q120">
        <f>+SUM(Q121)</f>
        <v>0</v>
      </c>
      <c r="R120">
        <f>+SUM(R121)</f>
        <v>0</v>
      </c>
      <c r="S120">
        <f>+SUM(S121)</f>
        <v>0</v>
      </c>
    </row>
    <row r="121">
      <c r="B121" t="str">
        <v>HD16 VG 18 Phú Mỹ - Nam Vân Phong</v>
      </c>
      <c r="C121">
        <f>+E121*F121</f>
        <v>458249240</v>
      </c>
      <c r="D121">
        <f>+H121-SUM(K121:P121)</f>
        <v>0</v>
      </c>
      <c r="E121">
        <v>4980.97</v>
      </c>
      <c r="F121">
        <v>92000</v>
      </c>
      <c r="G121">
        <v>0</v>
      </c>
      <c r="H121">
        <f>+(G121+F121)/1.08*E121*1.08</f>
        <v>458249240.00000006</v>
      </c>
      <c r="I121">
        <f>+(H121-C121)/1.08*13%</f>
        <v>7.17463316740813e-9</v>
      </c>
      <c r="J121">
        <f>+(H121-C121)-(H121-C121)/1.08*13%</f>
        <v>5.2430011607982495e-8</v>
      </c>
      <c r="O121">
        <v>50000000</v>
      </c>
      <c r="P121">
        <v>408249240</v>
      </c>
      <c r="X121" t="str">
        <v>AB</v>
      </c>
      <c r="Y121" t="str">
        <v>VT</v>
      </c>
    </row>
    <row r="123">
      <c r="A123">
        <v>6</v>
      </c>
      <c r="B123" t="str">
        <v>Công Nợ Công ty Hằng Phát</v>
      </c>
      <c r="C123">
        <f>+SUM(C124:C125)</f>
        <v>1662200000</v>
      </c>
      <c r="D123">
        <f>+SUM(D124:J125)</f>
        <v>0</v>
      </c>
      <c r="E123">
        <f>+SUM(E124)</f>
        <v>0</v>
      </c>
      <c r="F123">
        <f>+SUM(F124)</f>
        <v>0</v>
      </c>
      <c r="G123">
        <f>+SUM(G124)</f>
        <v>0</v>
      </c>
      <c r="H123">
        <f>+SUM(H124)</f>
        <v>0</v>
      </c>
      <c r="I123">
        <f>+SUM(I124)</f>
        <v>0</v>
      </c>
      <c r="J123">
        <f>+SUM(J124)</f>
        <v>0</v>
      </c>
      <c r="K123">
        <f>+SUM(K124:K125)</f>
        <v>800000000</v>
      </c>
      <c r="L123">
        <f>+SUM(L124:L125)</f>
        <v>0</v>
      </c>
      <c r="M123">
        <f>+SUM(M124:M125)</f>
        <v>862200000</v>
      </c>
      <c r="N123">
        <f>+SUM(N124)</f>
        <v>0</v>
      </c>
      <c r="T123">
        <f>+SUM(T124)</f>
        <v>0</v>
      </c>
      <c r="AD123">
        <v>100000000</v>
      </c>
    </row>
    <row r="124">
      <c r="B124" t="str">
        <v>HD70</v>
      </c>
      <c r="C124">
        <v>1840000000</v>
      </c>
      <c r="D124">
        <f>+C124-SUM(E124:N124)</f>
        <v>360000000</v>
      </c>
      <c r="K124">
        <v>800000000</v>
      </c>
      <c r="M124">
        <f>490000000+190000000</f>
        <v>680000000</v>
      </c>
      <c r="T124" t="str">
        <v>-</v>
      </c>
      <c r="V124" t="str">
        <v>AB</v>
      </c>
      <c r="AD124">
        <v>360000000</v>
      </c>
    </row>
    <row r="125">
      <c r="B125" t="str">
        <v>Tiền gửi giá</v>
      </c>
      <c r="C125">
        <v>-177800000</v>
      </c>
      <c r="D125">
        <f>+C125-SUM(E125:N125)</f>
        <v>-360000000</v>
      </c>
      <c r="M125">
        <f>360000000-177800000</f>
        <v>182200000</v>
      </c>
      <c r="T125" t="str">
        <v>-</v>
      </c>
      <c r="V125" t="str">
        <v>VT</v>
      </c>
    </row>
    <row r="126">
      <c r="A126">
        <v>7</v>
      </c>
      <c r="B126" t="str">
        <v>Công Nợ Công ty Thái  Bình Dương</v>
      </c>
      <c r="C126">
        <f>+SUM(C127:C129)</f>
        <v>1460129481</v>
      </c>
      <c r="D126">
        <f>+SUM(D127:D129)</f>
        <v>0</v>
      </c>
      <c r="E126">
        <f>+SUM(E127)</f>
        <v>0</v>
      </c>
      <c r="F126">
        <f>+SUM(F127)</f>
        <v>0</v>
      </c>
      <c r="G126">
        <f>+SUM(G127)</f>
        <v>0</v>
      </c>
      <c r="H126">
        <f>+SUM(H127)</f>
        <v>0</v>
      </c>
      <c r="I126">
        <f>+SUM(I127)</f>
        <v>0</v>
      </c>
      <c r="J126">
        <f>+SUM(J127)</f>
        <v>0</v>
      </c>
      <c r="K126">
        <f>+SUM(K127:K128)</f>
        <v>0</v>
      </c>
      <c r="L126">
        <f>+SUM(L127:L128)</f>
        <v>0</v>
      </c>
      <c r="M126">
        <f>+SUM(M127:M128)</f>
        <v>250000000</v>
      </c>
      <c r="N126">
        <f>+SUM(N127:N128)</f>
        <v>390211481</v>
      </c>
      <c r="Q126">
        <f>+SUM(Q127:Q129)</f>
        <v>400000000</v>
      </c>
      <c r="R126">
        <f>+SUM(R127:R129)</f>
        <v>467913200</v>
      </c>
      <c r="S126">
        <f>+SUM(S127:S129)</f>
        <v>0</v>
      </c>
      <c r="T126">
        <f>+SUM(T127)</f>
        <v>0</v>
      </c>
      <c r="AD126">
        <v>100000000</v>
      </c>
    </row>
    <row r="127">
      <c r="B127" t="str">
        <v>HD91 VG18 Than Quảng Ninh - Nghi Thiết</v>
      </c>
      <c r="C127">
        <v>640211481</v>
      </c>
      <c r="D127">
        <f>+C127-SUM(E127:N127)-N128</f>
        <v>0</v>
      </c>
      <c r="M127">
        <v>250000000</v>
      </c>
      <c r="N127">
        <v>154211481</v>
      </c>
      <c r="T127" t="str">
        <v>-</v>
      </c>
      <c r="V127" t="str">
        <v>AB</v>
      </c>
      <c r="W127" t="str">
        <v>CN</v>
      </c>
      <c r="AD127">
        <v>360000000</v>
      </c>
    </row>
    <row r="128">
      <c r="N128">
        <v>236000000</v>
      </c>
      <c r="T128" t="str">
        <v>-</v>
      </c>
      <c r="W128" t="str">
        <v>AB</v>
      </c>
    </row>
    <row r="129">
      <c r="B129" t="str">
        <v>HD25 VG05 Clinker Hòn La  - Cần Thơ</v>
      </c>
      <c r="C129">
        <f>+E129*F129</f>
        <v>819918000</v>
      </c>
      <c r="D129">
        <f>+H129-SUM(K129:T129)</f>
        <v>0</v>
      </c>
      <c r="E129">
        <v>3999.6</v>
      </c>
      <c r="F129">
        <v>205000</v>
      </c>
      <c r="G129">
        <v>12000</v>
      </c>
      <c r="H129">
        <f>+(G129+F129)/1.08*E129*1.08</f>
        <v>867913200.0000001</v>
      </c>
      <c r="I129">
        <f>+(H129-C129)/1.08*20%</f>
        <v>8888000.00000002</v>
      </c>
      <c r="J129">
        <f>+(H129-C129)-(H129-C129)/1.08*20%</f>
        <v>39107200.0000001</v>
      </c>
      <c r="Q129">
        <v>400000000</v>
      </c>
      <c r="R129">
        <f>200000000+267913200</f>
        <v>467913200</v>
      </c>
      <c r="Z129" t="str">
        <v>AB</v>
      </c>
      <c r="AA129" t="str">
        <v>AB</v>
      </c>
    </row>
    <row r="130">
      <c r="A130">
        <v>8</v>
      </c>
      <c r="B130" t="str">
        <v>Giải Ngân Abbank Tàu 18</v>
      </c>
      <c r="K130">
        <v>32000000000</v>
      </c>
      <c r="L130">
        <v>5213547343</v>
      </c>
      <c r="M130">
        <v>2786452657</v>
      </c>
      <c r="T130">
        <f>+SUM(K130:N130)</f>
        <v>40000000000</v>
      </c>
      <c r="U130" t="str">
        <v>AB</v>
      </c>
      <c r="V130" t="str">
        <v>AB</v>
      </c>
      <c r="AD130">
        <v>145000000</v>
      </c>
    </row>
    <row r="131">
      <c r="A131">
        <v>9</v>
      </c>
      <c r="B131" t="str">
        <v>Giải Ngân Abbank ngắn hạn thanh toán tiền dầu</v>
      </c>
      <c r="K131">
        <f>+SUM(K132:K135)</f>
        <v>923600590</v>
      </c>
      <c r="L131">
        <f>+SUM(L132:L135)</f>
        <v>1933636900</v>
      </c>
      <c r="M131">
        <f>+SUM(M132:M135)</f>
        <v>522143410</v>
      </c>
      <c r="N131">
        <f>+SUM(N132:N135)</f>
        <v>-20689944</v>
      </c>
      <c r="O131">
        <f>+SUM(O132:O135)</f>
        <v>454245129</v>
      </c>
      <c r="P131">
        <f>+SUM(P132:P135)</f>
        <v>-25270014</v>
      </c>
      <c r="Q131">
        <f>+SUM(Q132:Q138)</f>
        <v>1342014658</v>
      </c>
      <c r="R131">
        <f>+SUM(R132:R138)</f>
        <v>805119820</v>
      </c>
      <c r="S131">
        <f>+SUM(S132:S138)</f>
        <v>-61688882</v>
      </c>
      <c r="T131">
        <f>+SUM(K131:R131)</f>
        <v>5934800549</v>
      </c>
      <c r="AD131">
        <v>100000000</v>
      </c>
    </row>
    <row r="132">
      <c r="B132" t="str">
        <v>Lần 1</v>
      </c>
      <c r="K132">
        <v>923600590</v>
      </c>
      <c r="L132">
        <v>833823300</v>
      </c>
      <c r="M132">
        <v>540639000</v>
      </c>
      <c r="O132">
        <v>505110825</v>
      </c>
      <c r="P132">
        <f>-3728055-3692911-6302790-3443796-8102462</f>
        <v>-25270014</v>
      </c>
      <c r="Q132">
        <v>-5082895</v>
      </c>
      <c r="R132">
        <v>1390134000</v>
      </c>
      <c r="S132">
        <v>-61688882</v>
      </c>
      <c r="V132" t="str">
        <v>AB</v>
      </c>
      <c r="X132" t="str">
        <v>AB</v>
      </c>
      <c r="Y132" t="str">
        <v>AB</v>
      </c>
      <c r="Z132" t="str">
        <v>AB</v>
      </c>
      <c r="AA132" t="str">
        <v>AB</v>
      </c>
      <c r="AB132" t="str">
        <v>AB</v>
      </c>
      <c r="AC132">
        <v>923600590</v>
      </c>
    </row>
    <row r="133">
      <c r="B133" t="str">
        <v>Lần 2</v>
      </c>
      <c r="L133">
        <v>833823300</v>
      </c>
      <c r="M133">
        <f>-(6510675+6101706+5883209)</f>
        <v>-18495590</v>
      </c>
      <c r="N133">
        <f>-(6779673+6437370+5140007+2332894)</f>
        <v>-20689944</v>
      </c>
      <c r="O133">
        <f>-(5535216+6981408+3443796+7005662+2477274)</f>
        <v>-25443356</v>
      </c>
      <c r="Q133">
        <f>-830128631-3694669-2703</f>
        <v>-833826003</v>
      </c>
      <c r="R133">
        <f>-(7704647+9587751+3225873+5724012+13518951+4086638)</f>
        <v>-43847872</v>
      </c>
      <c r="V133" t="str">
        <v>AB</v>
      </c>
      <c r="W133" t="str">
        <v>AB</v>
      </c>
      <c r="X133" t="str">
        <v>AB</v>
      </c>
      <c r="Z133" t="str">
        <v>AB</v>
      </c>
      <c r="AA133" t="str">
        <v>AB</v>
      </c>
    </row>
    <row r="134">
      <c r="B134" t="str">
        <v>Lần 3</v>
      </c>
      <c r="L134">
        <v>265990300</v>
      </c>
      <c r="O134">
        <v>-923600590</v>
      </c>
      <c r="Q134">
        <f>-5170076-6959036-7508864-3421578</f>
        <v>-23059554</v>
      </c>
      <c r="R134">
        <v>-540639000</v>
      </c>
      <c r="T134" t="str">
        <v>-</v>
      </c>
      <c r="X134" t="str">
        <v>AB</v>
      </c>
      <c r="Z134" t="str">
        <v>AB</v>
      </c>
      <c r="AA134" t="str">
        <v>AB</v>
      </c>
      <c r="AC134">
        <f>+Q132+Q134</f>
        <v>-28142449</v>
      </c>
    </row>
    <row r="135">
      <c r="B135" t="str">
        <v>Lần 4</v>
      </c>
      <c r="O135">
        <v>898178250</v>
      </c>
      <c r="Q135">
        <v>1699179500</v>
      </c>
      <c r="R135">
        <v>-527308</v>
      </c>
      <c r="X135" t="str">
        <v>AB</v>
      </c>
      <c r="Z135" t="str">
        <v>AB</v>
      </c>
      <c r="AA135" t="str">
        <v>AB</v>
      </c>
      <c r="AC135">
        <f>+O135-O327-O369-O371-O420-O422</f>
        <v>0</v>
      </c>
    </row>
    <row r="136">
      <c r="B136" t="str">
        <v>Lần 5</v>
      </c>
      <c r="Q136">
        <v>-1099813600</v>
      </c>
      <c r="Z136" t="str">
        <v>AB</v>
      </c>
    </row>
    <row r="137">
      <c r="B137" t="str">
        <v>Lần 6</v>
      </c>
      <c r="Q137">
        <v>-2145390</v>
      </c>
      <c r="Z137" t="str">
        <v>AB</v>
      </c>
    </row>
    <row r="138">
      <c r="B138" t="str">
        <v>Lần 7</v>
      </c>
      <c r="Q138">
        <v>1606762600</v>
      </c>
      <c r="Z138" t="str">
        <v>AB</v>
      </c>
    </row>
    <row r="139">
      <c r="A139">
        <v>10</v>
      </c>
      <c r="B139" t="str">
        <v>Giải Ngân vay ngoài</v>
      </c>
      <c r="K139">
        <f>+K140</f>
        <v>10000000000</v>
      </c>
      <c r="L139">
        <f>+SUM(L140:L141)</f>
        <v>31520000</v>
      </c>
      <c r="M139">
        <f>+SUM(M140:M141)</f>
        <v>17000000</v>
      </c>
      <c r="N139">
        <f>+SUM(N140:N141)</f>
        <v>470690000</v>
      </c>
      <c r="O139">
        <f>+SUM(O140:O141)</f>
        <v>-484803550</v>
      </c>
      <c r="P139">
        <f>+SUM(P140:P141)</f>
        <v>-136000000</v>
      </c>
      <c r="Q139">
        <f>+SUM(Q140:Q141)</f>
        <v>0</v>
      </c>
      <c r="R139">
        <f>+SUM(R140:R141)</f>
        <v>0</v>
      </c>
      <c r="S139">
        <f>+SUM(S140:S141)</f>
        <v>0</v>
      </c>
      <c r="T139">
        <f>+SUM(K139:P139)</f>
        <v>9898406450</v>
      </c>
      <c r="AD139">
        <v>300000000</v>
      </c>
    </row>
    <row r="140">
      <c r="B140" t="str">
        <v>Vay Yến Hậu</v>
      </c>
      <c r="K140">
        <v>10000000000</v>
      </c>
    </row>
    <row r="141">
      <c r="B141" t="str">
        <v>Tiền bà Thuý</v>
      </c>
      <c r="K141">
        <v>10000000</v>
      </c>
      <c r="L141">
        <f>20000000+8000000+3520000</f>
        <v>31520000</v>
      </c>
      <c r="M141">
        <f>7000000+10000000</f>
        <v>17000000</v>
      </c>
      <c r="N141">
        <f>70690000+400000000</f>
        <v>470690000</v>
      </c>
      <c r="O141">
        <f>-500000000+100000000+420000+60000000-145223550</f>
        <v>-484803550</v>
      </c>
      <c r="P141">
        <f>-135000000+5000000-6000000</f>
        <v>-136000000</v>
      </c>
      <c r="T141">
        <f>+SUM(K141:P141)</f>
        <v>-91593550</v>
      </c>
      <c r="V141" t="str">
        <v>TM</v>
      </c>
      <c r="W141" t="str">
        <v>CN</v>
      </c>
      <c r="X141" t="str">
        <v>VT</v>
      </c>
      <c r="Y141" t="str">
        <v>TM</v>
      </c>
      <c r="AC141">
        <f>1000000000-P166</f>
        <v>662100000</v>
      </c>
    </row>
    <row r="142">
      <c r="A142">
        <v>11</v>
      </c>
      <c r="B142" t="str">
        <v>Tiền gửi giá</v>
      </c>
      <c r="K142">
        <f>+SUM(K143:K145)</f>
        <v>0</v>
      </c>
      <c r="L142">
        <f>+SUM(L143:L145)</f>
        <v>377804368</v>
      </c>
      <c r="M142">
        <f>+SUM(M143:M145)</f>
        <v>190000000</v>
      </c>
      <c r="N142">
        <f>+SUM(N143:N145)</f>
        <v>769200000</v>
      </c>
      <c r="O142">
        <f>+SUM(O143:O145)</f>
        <v>235500475</v>
      </c>
      <c r="P142">
        <f>+SUM(P143:P145)</f>
        <v>0</v>
      </c>
      <c r="Q142">
        <f>+SUM(Q143:Q145)</f>
        <v>0</v>
      </c>
      <c r="R142">
        <f>+SUM(R143:R145)</f>
        <v>-47804000</v>
      </c>
      <c r="S142">
        <f>+SUM(S143:S145)</f>
        <v>0</v>
      </c>
      <c r="T142">
        <f>+SUM(K142:N142)</f>
        <v>1337004368</v>
      </c>
      <c r="AD142">
        <f>499000000*4</f>
        <v>1996000000</v>
      </c>
      <c r="AF142">
        <f>1000000-337900</f>
        <v>662100</v>
      </c>
    </row>
    <row r="143">
      <c r="B143" t="str">
        <v>Lần 1</v>
      </c>
      <c r="L143">
        <v>79168000</v>
      </c>
      <c r="M143">
        <v>190000000</v>
      </c>
      <c r="N143">
        <v>169200000</v>
      </c>
      <c r="O143">
        <v>235500475</v>
      </c>
      <c r="R143">
        <v>7596000</v>
      </c>
      <c r="V143" t="str">
        <v>CN</v>
      </c>
      <c r="W143" t="str">
        <v>CN</v>
      </c>
      <c r="X143" t="str">
        <v>CN</v>
      </c>
      <c r="AA143" t="str">
        <v>CN</v>
      </c>
    </row>
    <row r="144">
      <c r="B144" t="str">
        <v>Lần 2</v>
      </c>
      <c r="L144">
        <v>233484368</v>
      </c>
      <c r="N144">
        <v>500000000</v>
      </c>
      <c r="R144">
        <v>-55400000</v>
      </c>
      <c r="W144" t="str">
        <v>CN</v>
      </c>
      <c r="AA144" t="str">
        <v>CN</v>
      </c>
    </row>
    <row r="145">
      <c r="B145" t="str">
        <v>Lần 3</v>
      </c>
      <c r="L145">
        <v>65152000</v>
      </c>
      <c r="N145">
        <v>100000000</v>
      </c>
      <c r="T145" t="str">
        <v>-</v>
      </c>
      <c r="W145" t="str">
        <v>AB</v>
      </c>
    </row>
    <row r="146">
      <c r="A146">
        <v>12</v>
      </c>
      <c r="B146" t="str">
        <v>Tiền bảo hiểm lương</v>
      </c>
      <c r="K146">
        <f>+SUM(K147:K148)</f>
        <v>0</v>
      </c>
      <c r="L146">
        <f>+SUM(L147:L148)</f>
        <v>8976000</v>
      </c>
      <c r="M146">
        <f>+SUM(M147:M148)</f>
        <v>0</v>
      </c>
      <c r="N146">
        <f>+SUM(N147:N148)</f>
        <v>0</v>
      </c>
      <c r="O146">
        <f>+SUM(O147:O148)</f>
        <v>8976000</v>
      </c>
      <c r="P146">
        <f>+SUM(P147:P150)</f>
        <v>185420000</v>
      </c>
      <c r="Q146">
        <f>+SUM(Q147:Q150)</f>
        <v>0</v>
      </c>
      <c r="R146">
        <f>+SUM(R147:R150)</f>
        <v>85640000</v>
      </c>
      <c r="S146">
        <f>+SUM(S147:S150)</f>
        <v>14875000</v>
      </c>
      <c r="T146">
        <f>+SUM(K146:N146)</f>
        <v>8976000</v>
      </c>
      <c r="AD146">
        <v>81310000</v>
      </c>
    </row>
    <row r="147">
      <c r="B147" t="str">
        <v>Quý</v>
      </c>
      <c r="L147">
        <v>4176000</v>
      </c>
      <c r="O147">
        <v>8976000</v>
      </c>
      <c r="X147" t="str">
        <v>CN</v>
      </c>
    </row>
    <row r="148">
      <c r="B148" t="str">
        <v>Phạm Văn Khiêm</v>
      </c>
      <c r="L148">
        <v>4800000</v>
      </c>
    </row>
    <row r="149">
      <c r="B149" t="str">
        <v>Lương</v>
      </c>
      <c r="P149">
        <f>173610000+4000000</f>
        <v>177610000</v>
      </c>
      <c r="R149">
        <v>85640000</v>
      </c>
      <c r="S149">
        <v>14875000</v>
      </c>
      <c r="Y149" t="str">
        <v>CN</v>
      </c>
      <c r="AA149" t="str">
        <v>CN</v>
      </c>
      <c r="AB149" t="str">
        <v>CN</v>
      </c>
    </row>
    <row r="150">
      <c r="B150" t="str">
        <v>Khác</v>
      </c>
      <c r="P150">
        <v>7810000</v>
      </c>
      <c r="Y150" t="str">
        <v>CN</v>
      </c>
    </row>
    <row r="151">
      <c r="A151">
        <v>13</v>
      </c>
      <c r="B151" t="str">
        <v>Tiền lãi gửi NH</v>
      </c>
      <c r="K151">
        <f>+SUM(K152:K153)</f>
        <v>0</v>
      </c>
      <c r="L151">
        <f>+SUM(L152:L153)</f>
        <v>283961</v>
      </c>
      <c r="M151">
        <f>+SUM(M152:M153)</f>
        <v>26210</v>
      </c>
      <c r="N151">
        <f>+SUM(N152:N153)</f>
        <v>167715</v>
      </c>
      <c r="O151">
        <f>+SUM(O152:O153)</f>
        <v>171537</v>
      </c>
      <c r="P151">
        <f>+SUM(P152:P153)</f>
        <v>470956</v>
      </c>
      <c r="Q151">
        <f>+SUM(Q152:Q153)</f>
        <v>162530</v>
      </c>
      <c r="R151">
        <f>+SUM(R152:R153)</f>
        <v>269890</v>
      </c>
      <c r="S151">
        <f>+SUM(S152:S153)</f>
        <v>0</v>
      </c>
      <c r="T151">
        <f>+SUM(K151:N151)</f>
        <v>477886</v>
      </c>
      <c r="AD151" t="str">
        <v>KHOÁ CÁC Ô TRÊN MUỐN MỞ VÀO REVIEW UNPROTECT RỒI MỞ RA</v>
      </c>
    </row>
    <row r="152">
      <c r="B152" t="str">
        <v>AB</v>
      </c>
      <c r="L152">
        <v>283961</v>
      </c>
      <c r="N152">
        <v>85597</v>
      </c>
      <c r="P152">
        <v>225820</v>
      </c>
      <c r="Q152">
        <v>85092</v>
      </c>
      <c r="R152">
        <v>170629</v>
      </c>
      <c r="U152" t="str">
        <v>AB</v>
      </c>
      <c r="W152" t="str">
        <v>AB</v>
      </c>
      <c r="Y152" t="str">
        <v>AB</v>
      </c>
      <c r="Z152" t="str">
        <v>AB</v>
      </c>
      <c r="AA152" t="str">
        <v>AB</v>
      </c>
    </row>
    <row r="153">
      <c r="B153" t="str">
        <v>VT</v>
      </c>
      <c r="M153">
        <v>26210</v>
      </c>
      <c r="N153">
        <v>82118</v>
      </c>
      <c r="O153">
        <v>171537</v>
      </c>
      <c r="P153">
        <v>245136</v>
      </c>
      <c r="Q153">
        <v>77438</v>
      </c>
      <c r="R153">
        <v>99261</v>
      </c>
      <c r="V153" t="str">
        <v>VT</v>
      </c>
      <c r="W153" t="str">
        <v>VT</v>
      </c>
      <c r="X153" t="str">
        <v>VT</v>
      </c>
      <c r="Y153" t="str">
        <v>VT</v>
      </c>
      <c r="Z153" t="str">
        <v>VT</v>
      </c>
      <c r="AA153" t="str">
        <v>VT</v>
      </c>
    </row>
    <row r="154">
      <c r="B154" t="str">
        <v>Tổng cộng</v>
      </c>
      <c r="F154">
        <f>+SUM(F15:F142)</f>
        <v>4920904666</v>
      </c>
      <c r="G154">
        <f>+SUM(G15:G142)</f>
        <v>55838638.17684411</v>
      </c>
      <c r="H154">
        <f>+SUM(H15:H142)</f>
        <v>81836997554</v>
      </c>
      <c r="I154">
        <f>+SUM(I15:I142)</f>
        <v>680137583.7037034</v>
      </c>
      <c r="J154">
        <f>+SUM(J15:J142)</f>
        <v>2780382537.7407393</v>
      </c>
      <c r="K154">
        <f>+K151+K146+K142+K139+K131+K130+K126+K123+K112+K79+K15+K115</f>
        <v>44622600590</v>
      </c>
      <c r="L154">
        <f>+L151+L146+L142+L139+L131+L130+L126+L123+L112+L79+L15+L115</f>
        <v>12212190317</v>
      </c>
      <c r="M154">
        <f>+M151+M146+M142+M139+M131+M130+M126+M123+M112+M79+M15+M115</f>
        <v>10871756792</v>
      </c>
      <c r="N154">
        <f>+N151+N146+N142+N139+N131+N130+N126+N123+N112+N79+N15+N115</f>
        <v>10067773983</v>
      </c>
      <c r="O154">
        <f>+O151+O146+O142+O139+O131+O130+O126+O123+O112+O79+O15+O115+O120</f>
        <v>8237500680</v>
      </c>
      <c r="P154">
        <f>+P151+P146+P142+P139+P131+P130+P126+P123+P112+P79+P15+P115+P120</f>
        <v>6324977479</v>
      </c>
      <c r="Q154">
        <f>+Q151+Q146+Q142+Q139+Q131+Q130+Q126+Q123+Q112+Q79+Q15+Q115+Q120</f>
        <v>8856530838</v>
      </c>
      <c r="R154">
        <f>+R151+R146+R142+R139+R131+R130+R126+R123+R112+R79+R15+R115+R120</f>
        <v>11783332770</v>
      </c>
      <c r="S154">
        <f>+S151+S146+S142+S139+S131+S130+S126+S123+S112+S79+S15+S115+S120</f>
        <v>6713131858</v>
      </c>
      <c r="T154">
        <f>+T15+T79+T112+T123+T126+T130+T142+T139+T131+T151+T146+T120+T115</f>
        <v>57179665253</v>
      </c>
    </row>
    <row r="155">
      <c r="B155" t="str">
        <v>Tổng Tiền mặt Hiện có (trước khi rút tiền mặt)</v>
      </c>
      <c r="F155">
        <f>+F12+F154</f>
        <v>4920904666</v>
      </c>
      <c r="G155">
        <f>+G12+G154</f>
        <v>55838638.17684411</v>
      </c>
      <c r="H155">
        <f>+H12+H154</f>
        <v>81836997554</v>
      </c>
      <c r="I155">
        <f>+I12+I154</f>
        <v>680137583.7037034</v>
      </c>
      <c r="J155">
        <f>+J12+J154</f>
        <v>2780382537.7407393</v>
      </c>
      <c r="K155">
        <f>+K12+K154</f>
        <v>51376838410</v>
      </c>
      <c r="L155">
        <f>+L12+L154</f>
        <v>13477117527</v>
      </c>
      <c r="M155">
        <f>+M12+M154</f>
        <v>11254255572</v>
      </c>
      <c r="N155">
        <f>+N12+N154</f>
        <v>11334227618</v>
      </c>
      <c r="O155">
        <f>+O12+O154</f>
        <v>11651416591.518518</v>
      </c>
      <c r="P155">
        <f>+P12+P154</f>
        <v>8804053596.518518</v>
      </c>
      <c r="Q155">
        <f>+Q12+Q154</f>
        <v>10594306814.518518</v>
      </c>
      <c r="R155">
        <f>+R12+R154</f>
        <v>12326151906.185186</v>
      </c>
      <c r="S155">
        <f>+S12+S154</f>
        <v>8481846899.185186</v>
      </c>
      <c r="T155">
        <f>+T12+T154</f>
        <v>62259565668.18519</v>
      </c>
    </row>
    <row r="158">
      <c r="B158" t="str">
        <v>Dòng tiền Chi ra</v>
      </c>
      <c r="C158" t="str">
        <v>Công nợ theo hợp đồng</v>
      </c>
      <c r="D158" t="str">
        <v>Dư nợ còn lại</v>
      </c>
    </row>
    <row r="159">
      <c r="A159" t="str">
        <v>A</v>
      </c>
      <c r="B159" t="str">
        <v>Chi phí phục vụ tàu 18</v>
      </c>
      <c r="K159">
        <f>+K160+K175</f>
        <v>50111911200</v>
      </c>
      <c r="L159">
        <f>+L160+L175</f>
        <v>7769093262</v>
      </c>
      <c r="M159">
        <f>+M160+M175</f>
        <v>6157840373</v>
      </c>
      <c r="N159">
        <f>+N160+N175</f>
        <v>2717272948</v>
      </c>
      <c r="O159">
        <f>+O160+O175</f>
        <v>1760692869</v>
      </c>
      <c r="P159">
        <f>+P160+P175</f>
        <v>1467524225</v>
      </c>
      <c r="Q159">
        <f>+Q160+Q175</f>
        <v>1017579662</v>
      </c>
      <c r="R159">
        <f>+R160+R175</f>
        <v>1165252302</v>
      </c>
      <c r="S159">
        <f>+S160+S175</f>
        <v>195070000</v>
      </c>
      <c r="T159">
        <f>+SUM(K159:Q159)</f>
        <v>71001914539</v>
      </c>
    </row>
    <row r="160">
      <c r="A160">
        <v>1</v>
      </c>
      <c r="B160" t="str">
        <v>Chi phí công ty</v>
      </c>
      <c r="D160">
        <f>+SUM(D161:D174)</f>
        <v>0</v>
      </c>
      <c r="K160">
        <f>+SUM(K161:K171)</f>
        <v>0</v>
      </c>
      <c r="L160">
        <f>+SUM(L161:L174)</f>
        <v>5205622203</v>
      </c>
      <c r="M160">
        <f>+SUM(M161:M174)</f>
        <v>4436837857</v>
      </c>
      <c r="N160">
        <f>+SUM(N161:N174)</f>
        <v>1608310629</v>
      </c>
      <c r="O160">
        <f>+SUM(O161:O174)</f>
        <v>312040000</v>
      </c>
      <c r="P160">
        <f>+SUM(P161:P174)</f>
        <v>337900000</v>
      </c>
      <c r="Q160">
        <f>+SUM(Q161:Q174)</f>
        <v>0</v>
      </c>
      <c r="R160">
        <f>+SUM(R161:R174)</f>
        <v>0</v>
      </c>
      <c r="S160">
        <f>+SUM(S161:S174)</f>
        <v>0</v>
      </c>
      <c r="T160" t="str">
        <v>-</v>
      </c>
    </row>
    <row r="161">
      <c r="A161">
        <v>1.1</v>
      </c>
      <c r="B161" t="str">
        <v>Công ty Sơn hải phòng</v>
      </c>
      <c r="C161">
        <f>988948915+8450957</f>
        <v>997399872</v>
      </c>
      <c r="D161">
        <f>+C161-SUM(E161:N161)</f>
        <v>0</v>
      </c>
      <c r="L161">
        <f>8450957+988948915</f>
        <v>997399872</v>
      </c>
      <c r="U161" t="str">
        <v>AB</v>
      </c>
    </row>
    <row r="162">
      <c r="A162">
        <v>1.2</v>
      </c>
      <c r="B162" t="str">
        <v>Công ty TNHH TM Tú Hương</v>
      </c>
      <c r="C162">
        <f>40000000+2703203</f>
        <v>42703203</v>
      </c>
      <c r="D162">
        <f>+C162-SUM(E162:N162)</f>
        <v>0</v>
      </c>
      <c r="L162">
        <f>17647203+25056000</f>
        <v>42703203</v>
      </c>
      <c r="U162" t="str">
        <v>AB</v>
      </c>
    </row>
    <row r="163">
      <c r="A163">
        <v>1.3</v>
      </c>
      <c r="B163" t="str">
        <v>Công ty TNHH SX TM và DV Thành Dương</v>
      </c>
      <c r="C163">
        <v>64191528</v>
      </c>
      <c r="D163">
        <f>+C163-SUM(E163:N163)</f>
        <v>0</v>
      </c>
      <c r="L163">
        <v>64191528</v>
      </c>
      <c r="U163" t="str">
        <v>AB</v>
      </c>
    </row>
    <row r="164">
      <c r="A164">
        <v>1.4</v>
      </c>
      <c r="B164" t="str">
        <v>Công ty TNHH TM và XNK ACC+ hùng hiền</v>
      </c>
      <c r="C164">
        <f>283707500-3646400</f>
        <v>280061100</v>
      </c>
      <c r="D164">
        <f>+C164-SUM(E164:N164)</f>
        <v>0</v>
      </c>
      <c r="L164">
        <f>223707500+56353600</f>
        <v>280061100</v>
      </c>
      <c r="U164" t="str">
        <v>AB</v>
      </c>
    </row>
    <row r="165">
      <c r="A165">
        <v>1.5</v>
      </c>
      <c r="B165" t="str">
        <v>Công ty TNHH SX Hải Sơn</v>
      </c>
      <c r="C165">
        <v>46702500</v>
      </c>
      <c r="D165">
        <v>0</v>
      </c>
    </row>
    <row r="166">
      <c r="A166">
        <v>1.6</v>
      </c>
      <c r="B166" t="str">
        <v>Công ty TNHH Thành Năm ( Xưởng )</v>
      </c>
      <c r="C166">
        <f>4870390845+2000000000+636028721</f>
        <v>7506419566</v>
      </c>
      <c r="D166">
        <f>+C166-SUM(E166:P166)</f>
        <v>0</v>
      </c>
      <c r="L166">
        <v>2000000000</v>
      </c>
      <c r="M166">
        <f>2786452657+1500000000</f>
        <v>4286452657</v>
      </c>
      <c r="N166">
        <f>500000000+82066909</f>
        <v>582066909</v>
      </c>
      <c r="O166">
        <v>300000000</v>
      </c>
      <c r="P166">
        <v>337900000</v>
      </c>
      <c r="U166" t="str">
        <v>AB</v>
      </c>
      <c r="V166" t="str">
        <v>AB</v>
      </c>
      <c r="W166" t="str">
        <v>CN</v>
      </c>
      <c r="X166" t="str">
        <v>VT</v>
      </c>
      <c r="Y166" t="str">
        <v>TM</v>
      </c>
    </row>
    <row r="167">
      <c r="A167">
        <v>1.7</v>
      </c>
      <c r="B167" t="str">
        <v>Công ty CP Tấn Cường ( Chế tạo tời lái)</v>
      </c>
      <c r="C167">
        <f>1068935000+42120000</f>
        <v>1111055000</v>
      </c>
      <c r="D167">
        <f>+C167-SUM(E167:N167)</f>
        <v>0</v>
      </c>
      <c r="L167">
        <v>1068935000</v>
      </c>
      <c r="N167">
        <v>42120000</v>
      </c>
      <c r="U167" t="str">
        <v>AB</v>
      </c>
      <c r="W167" t="str">
        <v>AB</v>
      </c>
    </row>
    <row r="168">
      <c r="A168">
        <v>1.8</v>
      </c>
      <c r="B168" t="str">
        <v>Công ty TNHH Điện tàu thuỷ PD</v>
      </c>
      <c r="C168">
        <v>101088000</v>
      </c>
      <c r="D168">
        <f>+C168-SUM(E168:N168)</f>
        <v>0</v>
      </c>
      <c r="L168">
        <v>101088000</v>
      </c>
      <c r="T168" t="str">
        <v>-</v>
      </c>
      <c r="U168" t="str">
        <v>AB</v>
      </c>
    </row>
    <row r="169">
      <c r="A169">
        <v>1.9</v>
      </c>
      <c r="B169" t="str">
        <v>Công ty Điện Quang Minh</v>
      </c>
      <c r="C169">
        <f>215761200+11016000</f>
        <v>226777200</v>
      </c>
      <c r="D169">
        <f>+C169-SUM(E169:N169)</f>
        <v>0</v>
      </c>
      <c r="L169">
        <v>150000000</v>
      </c>
      <c r="M169">
        <v>65761200</v>
      </c>
      <c r="N169">
        <v>11016000</v>
      </c>
      <c r="T169" t="str">
        <v>-</v>
      </c>
      <c r="V169" t="str">
        <v>AB</v>
      </c>
      <c r="W169" t="str">
        <v>AB</v>
      </c>
    </row>
    <row r="170">
      <c r="A170">
        <v>1.1</v>
      </c>
      <c r="B170" t="str">
        <v>Công ty CP TM hàng hải Thái Bình Dương</v>
      </c>
      <c r="C170">
        <v>24624000</v>
      </c>
      <c r="D170">
        <f>+C170-SUM(E170:N170)</f>
        <v>0</v>
      </c>
      <c r="M170">
        <v>24624000</v>
      </c>
      <c r="T170" t="str">
        <v>-</v>
      </c>
      <c r="V170" t="str">
        <v>AB</v>
      </c>
    </row>
    <row r="171">
      <c r="A171">
        <v>1.11</v>
      </c>
      <c r="B171" t="str">
        <v>Công ty CP TMDV Cơ khí Quang Hạnh</v>
      </c>
      <c r="C171">
        <v>501243500</v>
      </c>
      <c r="D171">
        <f>+C171-SUM(E171:N171)</f>
        <v>0</v>
      </c>
      <c r="L171">
        <f>100000000+401243500</f>
        <v>501243500</v>
      </c>
      <c r="T171" t="str">
        <v>-</v>
      </c>
      <c r="U171" t="str">
        <v>AB</v>
      </c>
    </row>
    <row r="172">
      <c r="A172">
        <v>1.12</v>
      </c>
      <c r="B172" t="str">
        <v>Công ty sửa máy Hải Đăng</v>
      </c>
      <c r="C172">
        <v>85992720</v>
      </c>
      <c r="D172">
        <f>+C172-SUM(E172:N172)</f>
        <v>0</v>
      </c>
      <c r="M172">
        <v>60000000</v>
      </c>
      <c r="N172">
        <v>25992720</v>
      </c>
      <c r="O172">
        <v>12040000</v>
      </c>
      <c r="T172" t="str">
        <v>-</v>
      </c>
      <c r="U172" t="str">
        <v>AB</v>
      </c>
      <c r="V172" t="str">
        <v>AB</v>
      </c>
      <c r="W172" t="str">
        <v>AB</v>
      </c>
      <c r="X172" t="str">
        <v>CN</v>
      </c>
    </row>
    <row r="173">
      <c r="A173">
        <v>1.13</v>
      </c>
      <c r="B173" t="str">
        <v>Điện tử hàng hải Nghiêm (Radar)</v>
      </c>
      <c r="C173">
        <v>87993000</v>
      </c>
      <c r="N173">
        <v>79515000</v>
      </c>
      <c r="W173" t="str">
        <v>AB</v>
      </c>
    </row>
    <row r="174">
      <c r="A174">
        <v>1.14</v>
      </c>
      <c r="B174" t="str">
        <v>Công ty Đông Đông</v>
      </c>
      <c r="C174">
        <v>7298400000</v>
      </c>
      <c r="D174">
        <f>+C174-SUM(E174:N174)</f>
        <v>0</v>
      </c>
      <c r="K174">
        <f>7298400000-98400000-769200000</f>
        <v>6430800000</v>
      </c>
      <c r="N174">
        <v>867600000</v>
      </c>
      <c r="W174" t="str">
        <v>AB</v>
      </c>
      <c r="AH174" t="str">
        <v>Tháng 2</v>
      </c>
      <c r="AM174" t="str">
        <v>Tháng 3</v>
      </c>
      <c r="AR174" t="str">
        <v>Tháng 3</v>
      </c>
    </row>
    <row r="175">
      <c r="A175">
        <v>2</v>
      </c>
      <c r="B175" t="str">
        <v>Chi phí chi trực tiếp</v>
      </c>
      <c r="K175">
        <f>+K176</f>
        <v>50111911200</v>
      </c>
      <c r="L175">
        <f>+L182+L176</f>
        <v>2563471059</v>
      </c>
      <c r="M175">
        <f>+M182+M176</f>
        <v>1721002516</v>
      </c>
      <c r="N175">
        <f>+N182+N176</f>
        <v>1108962319</v>
      </c>
      <c r="O175">
        <f>+O182+O176</f>
        <v>1448652869</v>
      </c>
      <c r="P175">
        <f>+P182+P176</f>
        <v>1129624225</v>
      </c>
      <c r="Q175">
        <f>+Q182+Q176</f>
        <v>1017579662</v>
      </c>
      <c r="R175">
        <f>+R182+R176</f>
        <v>1165252302</v>
      </c>
      <c r="S175">
        <f>+S182+S176</f>
        <v>195070000</v>
      </c>
      <c r="T175" t="str">
        <v>-</v>
      </c>
      <c r="AC175">
        <v>39600000</v>
      </c>
      <c r="AD175">
        <v>14875029</v>
      </c>
      <c r="AE175" t="str">
        <v>LD2418096601</v>
      </c>
      <c r="AF175">
        <v>1628414000</v>
      </c>
      <c r="AH175">
        <v>39600000</v>
      </c>
      <c r="AI175">
        <v>15927227</v>
      </c>
      <c r="AJ175" t="str">
        <v>LD2418096601</v>
      </c>
      <c r="AK175">
        <f>+AF175-AH175</f>
        <v>1588814000</v>
      </c>
      <c r="AM175">
        <v>39600000</v>
      </c>
      <c r="AN175">
        <v>11426402</v>
      </c>
      <c r="AO175" t="str">
        <v>LD2418096601</v>
      </c>
      <c r="AP175">
        <f>+AK175-AM175</f>
        <v>1549214000</v>
      </c>
      <c r="AR175">
        <v>39600000</v>
      </c>
      <c r="AS175">
        <v>13815593</v>
      </c>
      <c r="AT175" t="str">
        <v>LD2418096601</v>
      </c>
      <c r="AU175">
        <f>+AP175-AR175</f>
        <v>1509614000</v>
      </c>
    </row>
    <row r="176">
      <c r="A176">
        <v>2.1</v>
      </c>
      <c r="B176" t="str">
        <v>Cộng luỹ kế hết tháng 9</v>
      </c>
      <c r="K176">
        <f>+SUM(K177:K181)</f>
        <v>50111911200</v>
      </c>
      <c r="L176">
        <f>+SUM(L177:L181)</f>
        <v>1036476612</v>
      </c>
      <c r="M176">
        <f>+SUM(M177:M181)</f>
        <v>987216192</v>
      </c>
      <c r="N176">
        <f>+SUM(N177:N181)</f>
        <v>1079358422</v>
      </c>
      <c r="O176">
        <f>+SUM(O177:O181)</f>
        <v>1279956869</v>
      </c>
      <c r="P176">
        <f>+SUM(P177:P181)</f>
        <v>1101624225</v>
      </c>
      <c r="Q176">
        <f>+SUM(Q177:Q181)</f>
        <v>1017579662</v>
      </c>
      <c r="R176">
        <f>+SUM(R177:R181)</f>
        <v>1065252302</v>
      </c>
      <c r="S176">
        <f>+SUM(S177:S181)</f>
        <v>195070000</v>
      </c>
      <c r="AC176">
        <v>64800000</v>
      </c>
      <c r="AD176">
        <v>21266174</v>
      </c>
      <c r="AE176" t="str">
        <v>LD2531819175</v>
      </c>
      <c r="AF176">
        <v>2656852657</v>
      </c>
      <c r="AH176">
        <v>64800000</v>
      </c>
      <c r="AI176">
        <v>21266174</v>
      </c>
      <c r="AJ176" t="str">
        <v>LD2531819175</v>
      </c>
      <c r="AK176">
        <f>+AF176-AH176</f>
        <v>2592052657</v>
      </c>
      <c r="AM176">
        <v>64800000</v>
      </c>
      <c r="AN176">
        <v>16333482</v>
      </c>
      <c r="AO176" t="str">
        <v>LD2531819175</v>
      </c>
      <c r="AP176">
        <f>+AK176-AM176</f>
        <v>2527252657</v>
      </c>
      <c r="AR176">
        <v>64800000</v>
      </c>
      <c r="AS176">
        <v>19747191</v>
      </c>
      <c r="AT176" t="str">
        <v>LD2531819175</v>
      </c>
      <c r="AU176">
        <f>+AP176-AR176</f>
        <v>2462452657</v>
      </c>
    </row>
    <row r="177">
      <c r="B177" t="str">
        <v>Chi phí đến hết tháng 9</v>
      </c>
      <c r="K177">
        <v>42935176200</v>
      </c>
      <c r="AC177">
        <v>51800000</v>
      </c>
      <c r="AD177">
        <v>17006836</v>
      </c>
      <c r="AE177" t="str">
        <v>LD2514940867</v>
      </c>
      <c r="AF177">
        <v>2124741049</v>
      </c>
      <c r="AH177">
        <v>51800000</v>
      </c>
      <c r="AI177">
        <v>18208740</v>
      </c>
      <c r="AJ177" t="str">
        <v>LD2514940867</v>
      </c>
      <c r="AK177">
        <f>+AF177-AH177</f>
        <v>2072941049</v>
      </c>
      <c r="AM177">
        <v>51800000</v>
      </c>
      <c r="AN177">
        <v>13062368</v>
      </c>
      <c r="AO177" t="str">
        <v>LD2514940867</v>
      </c>
      <c r="AP177">
        <f>+AK177-AM177</f>
        <v>2021141049</v>
      </c>
      <c r="AR177">
        <v>51800000</v>
      </c>
      <c r="AS177">
        <v>15792587</v>
      </c>
      <c r="AT177" t="str">
        <v>LD2514940867</v>
      </c>
      <c r="AU177">
        <f>+AP177-AR177</f>
        <v>1969341049</v>
      </c>
    </row>
    <row r="178">
      <c r="B178" t="str">
        <v>Gốc ngân hàng AB dài hạn</v>
      </c>
      <c r="K178">
        <v>4013285000</v>
      </c>
      <c r="L178">
        <v>619975000</v>
      </c>
      <c r="M178">
        <v>738465000</v>
      </c>
      <c r="N178">
        <v>803265000</v>
      </c>
      <c r="O178">
        <v>803265000</v>
      </c>
      <c r="P178">
        <v>803265000</v>
      </c>
      <c r="Q178">
        <v>803265000</v>
      </c>
      <c r="R178">
        <v>803265000</v>
      </c>
      <c r="T178">
        <f>+SUM(K178:P178)</f>
        <v>7781520000</v>
      </c>
      <c r="U178" t="str">
        <v>AB</v>
      </c>
      <c r="V178" t="str">
        <v>AB</v>
      </c>
      <c r="W178" t="str">
        <v>AB</v>
      </c>
      <c r="X178" t="str">
        <v>AB</v>
      </c>
      <c r="Y178" t="str">
        <v>AB</v>
      </c>
      <c r="Z178" t="str">
        <v>AB</v>
      </c>
      <c r="AA178" t="str">
        <v>AB</v>
      </c>
      <c r="AC178">
        <v>90575000</v>
      </c>
      <c r="AD178">
        <v>29724727</v>
      </c>
      <c r="AE178" t="str">
        <v>LD2517505408</v>
      </c>
      <c r="AF178">
        <v>3713606390</v>
      </c>
      <c r="AH178">
        <v>90575000</v>
      </c>
      <c r="AI178">
        <v>31825098</v>
      </c>
      <c r="AJ178" t="str">
        <v>LD2517505408</v>
      </c>
      <c r="AK178">
        <f>+AF178-AH178</f>
        <v>3623031390</v>
      </c>
      <c r="AM178">
        <v>90575000</v>
      </c>
      <c r="AN178">
        <v>22830061</v>
      </c>
      <c r="AO178" t="str">
        <v>LD2517505408</v>
      </c>
      <c r="AP178">
        <f>+AK178-AM178</f>
        <v>3532456390</v>
      </c>
      <c r="AR178">
        <v>90575000</v>
      </c>
      <c r="AS178">
        <v>27601550</v>
      </c>
      <c r="AT178" t="str">
        <v>LD2517505408</v>
      </c>
      <c r="AU178">
        <f>+AP178-AR178</f>
        <v>3441881390</v>
      </c>
    </row>
    <row r="179">
      <c r="B179" t="str">
        <v>Lãi ngân hàng AB dài hạn</v>
      </c>
      <c r="K179">
        <v>1812648000</v>
      </c>
      <c r="L179">
        <v>214851612</v>
      </c>
      <c r="M179">
        <v>248751192</v>
      </c>
      <c r="N179">
        <v>276093422</v>
      </c>
      <c r="O179">
        <v>275041869</v>
      </c>
      <c r="P179">
        <v>298359225</v>
      </c>
      <c r="Q179">
        <v>214314662</v>
      </c>
      <c r="R179">
        <v>261987302</v>
      </c>
      <c r="T179">
        <f>+SUM(K179:P179)</f>
        <v>3125745320</v>
      </c>
      <c r="U179" t="str">
        <v>AB</v>
      </c>
      <c r="V179" t="str">
        <v>AB</v>
      </c>
      <c r="W179" t="str">
        <v>AB</v>
      </c>
      <c r="X179" t="str">
        <v>AB</v>
      </c>
      <c r="Y179" t="str">
        <v>AB</v>
      </c>
      <c r="Z179" t="str">
        <v>AB</v>
      </c>
      <c r="AA179" t="str">
        <v>AB</v>
      </c>
      <c r="AC179">
        <v>70120000</v>
      </c>
      <c r="AD179">
        <v>26263480</v>
      </c>
      <c r="AE179" t="str">
        <v>LD2420971738</v>
      </c>
      <c r="AF179">
        <v>2874940000</v>
      </c>
      <c r="AH179">
        <v>70120000</v>
      </c>
      <c r="AI179">
        <v>28119276</v>
      </c>
      <c r="AJ179" t="str">
        <v>LD2420971738</v>
      </c>
      <c r="AK179">
        <f>+AF179-AH179</f>
        <v>2804820000</v>
      </c>
      <c r="AM179">
        <v>70120000</v>
      </c>
      <c r="AN179">
        <v>20171651</v>
      </c>
      <c r="AO179" t="str">
        <v>LD2420971738</v>
      </c>
      <c r="AP179">
        <f>+AK179-AM179</f>
        <v>2734700000</v>
      </c>
      <c r="AR179">
        <v>70120000</v>
      </c>
      <c r="AS179">
        <v>24387530</v>
      </c>
      <c r="AT179" t="str">
        <v>LD2420971738</v>
      </c>
      <c r="AU179">
        <f>+AP179-AR179</f>
        <v>2664580000</v>
      </c>
    </row>
    <row r="180">
      <c r="B180" t="str">
        <v>Lãi ngân hàng AB ngắn hạn</v>
      </c>
      <c r="K180">
        <v>4175000</v>
      </c>
      <c r="T180">
        <f>+SUM(K180:P180)</f>
        <v>4175000</v>
      </c>
      <c r="V180" t="str">
        <v>AB</v>
      </c>
      <c r="W180" t="str">
        <v>AB</v>
      </c>
      <c r="X180" t="str">
        <v>AB</v>
      </c>
      <c r="AC180">
        <v>83300000</v>
      </c>
      <c r="AD180">
        <v>28001952</v>
      </c>
      <c r="AE180" t="str">
        <v>LD2502301750</v>
      </c>
      <c r="AF180">
        <v>3500400000</v>
      </c>
      <c r="AH180">
        <v>83300000</v>
      </c>
      <c r="AI180">
        <v>28001952</v>
      </c>
      <c r="AJ180" t="str">
        <v>LD2502301750</v>
      </c>
      <c r="AK180">
        <f>+AF180-AH180</f>
        <v>3417100000</v>
      </c>
      <c r="AM180">
        <v>83300000</v>
      </c>
      <c r="AN180">
        <v>24575034</v>
      </c>
      <c r="AO180" t="str">
        <v>LD2502301750</v>
      </c>
      <c r="AP180">
        <f>+AK180-AM180</f>
        <v>3333800000</v>
      </c>
      <c r="AR180">
        <v>83300000</v>
      </c>
      <c r="AS180">
        <v>29730189</v>
      </c>
      <c r="AT180" t="str">
        <v>LD2502301750</v>
      </c>
      <c r="AU180">
        <f>+AP180-AR180</f>
        <v>3250500000</v>
      </c>
    </row>
    <row r="181">
      <c r="B181" t="str">
        <v>Lãi vay ngoài</v>
      </c>
      <c r="K181">
        <v>1346627000</v>
      </c>
      <c r="L181">
        <v>201650000</v>
      </c>
      <c r="O181">
        <v>201650000</v>
      </c>
      <c r="S181">
        <v>195070000</v>
      </c>
      <c r="T181">
        <f>+SUM(K181:P181)</f>
        <v>1749927000</v>
      </c>
      <c r="U181" t="str">
        <v>TM</v>
      </c>
      <c r="X181" t="str">
        <v>TM</v>
      </c>
      <c r="AB181" t="str">
        <v>VT</v>
      </c>
      <c r="AC181">
        <v>114400000</v>
      </c>
      <c r="AD181">
        <v>37556052</v>
      </c>
      <c r="AE181" t="str">
        <v>LD2509288061</v>
      </c>
      <c r="AF181">
        <v>4692037268</v>
      </c>
      <c r="AH181">
        <v>114400000</v>
      </c>
      <c r="AI181">
        <v>40210117</v>
      </c>
      <c r="AJ181" t="str">
        <v>LD2509288061</v>
      </c>
      <c r="AK181">
        <f>+AF181-AH181</f>
        <v>4577637268</v>
      </c>
      <c r="AM181">
        <v>114400000</v>
      </c>
      <c r="AN181">
        <v>28845386</v>
      </c>
      <c r="AO181" t="str">
        <v>LD2509288061</v>
      </c>
      <c r="AP181">
        <f>+AK181-AM181</f>
        <v>4463237268</v>
      </c>
      <c r="AR181">
        <v>114400000</v>
      </c>
      <c r="AS181">
        <v>37735754</v>
      </c>
      <c r="AT181" t="str">
        <v>LD2509288061</v>
      </c>
      <c r="AU181">
        <f>+AP181-AR181</f>
        <v>4348837268</v>
      </c>
    </row>
    <row r="182">
      <c r="A182">
        <v>2.2</v>
      </c>
      <c r="B182" t="str">
        <v>Chi phí tháng</v>
      </c>
      <c r="L182">
        <f>+SUM(L183:L271)</f>
        <v>1526994447</v>
      </c>
      <c r="M182">
        <f>+SUM(M183:M271)</f>
        <v>733786324</v>
      </c>
      <c r="N182">
        <f>+SUM(N183:N271)</f>
        <v>29603897</v>
      </c>
      <c r="O182">
        <f>+SUM(O183:O271)</f>
        <v>168696000</v>
      </c>
      <c r="P182">
        <f>+SUM(P183:P271)</f>
        <v>28000000</v>
      </c>
      <c r="Q182">
        <f>+SUM(Q183:Q271)</f>
        <v>0</v>
      </c>
      <c r="R182">
        <f>+SUM(R183:R272)</f>
        <v>100000000</v>
      </c>
      <c r="S182">
        <f>+SUM(S183:S272)</f>
        <v>0</v>
      </c>
      <c r="AC182">
        <v>30680000</v>
      </c>
      <c r="AD182">
        <v>11492139</v>
      </c>
      <c r="AE182" t="str">
        <v>LD2431332598</v>
      </c>
      <c r="AF182">
        <v>1257993049</v>
      </c>
      <c r="AH182">
        <v>30680000</v>
      </c>
      <c r="AI182">
        <v>12304206</v>
      </c>
      <c r="AJ182" t="str">
        <v>LD2431332598</v>
      </c>
      <c r="AK182">
        <f>+AF182-AH182</f>
        <v>1227313049</v>
      </c>
      <c r="AM182">
        <v>30680000</v>
      </c>
      <c r="AN182">
        <v>8826566</v>
      </c>
      <c r="AO182" t="str">
        <v>LD2431332598</v>
      </c>
      <c r="AP182">
        <f>+AK182-AM182</f>
        <v>1196633049</v>
      </c>
      <c r="AR182">
        <v>30680000</v>
      </c>
      <c r="AS182">
        <v>10671344</v>
      </c>
      <c r="AT182" t="str">
        <v>LD2431332598</v>
      </c>
      <c r="AU182">
        <f>+AP182-AR182</f>
        <v>1165953049</v>
      </c>
    </row>
    <row r="183">
      <c r="B183" t="str">
        <v>Lương Giang T8+ Hà, Tân tháng 9</v>
      </c>
      <c r="L183">
        <v>45940000</v>
      </c>
      <c r="AC183">
        <v>48220000</v>
      </c>
      <c r="AD183">
        <v>15826827</v>
      </c>
      <c r="AE183" t="str">
        <v>LD2520232442</v>
      </c>
      <c r="AF183">
        <v>1977303150</v>
      </c>
      <c r="AH183">
        <v>48220000</v>
      </c>
      <c r="AI183">
        <v>16945217</v>
      </c>
      <c r="AJ183" t="str">
        <v>LD2520232442</v>
      </c>
      <c r="AK183">
        <f>+AF183-AH183</f>
        <v>1929083150</v>
      </c>
      <c r="AM183">
        <v>48220000</v>
      </c>
      <c r="AN183">
        <v>12155866</v>
      </c>
      <c r="AO183" t="str">
        <v>LD2520232442</v>
      </c>
      <c r="AP183">
        <f>+AK183-AM183</f>
        <v>1880863150</v>
      </c>
      <c r="AR183">
        <v>48220000</v>
      </c>
      <c r="AS183">
        <v>14696498</v>
      </c>
      <c r="AT183" t="str">
        <v>LD2520232442</v>
      </c>
      <c r="AU183">
        <f>+AP183-AR183</f>
        <v>1832643150</v>
      </c>
    </row>
    <row r="184">
      <c r="B184" t="str">
        <v>Nội thất ca bin, PCCC</v>
      </c>
      <c r="L184">
        <v>275342000</v>
      </c>
      <c r="AC184">
        <v>58000000</v>
      </c>
      <c r="AD184">
        <v>21676377</v>
      </c>
      <c r="AE184" t="str">
        <v>LD2429534396</v>
      </c>
      <c r="AF184">
        <v>2372684400</v>
      </c>
      <c r="AH184">
        <v>58000000</v>
      </c>
      <c r="AI184">
        <v>23206804</v>
      </c>
      <c r="AJ184" t="str">
        <v>LD2429534396</v>
      </c>
      <c r="AK184">
        <f>+AF184-AH184</f>
        <v>2314684400</v>
      </c>
      <c r="AM184">
        <v>58000000</v>
      </c>
      <c r="AN184">
        <v>16646703</v>
      </c>
      <c r="AO184" t="str">
        <v>LD2429534396</v>
      </c>
      <c r="AP184">
        <f>+AK184-AM184</f>
        <v>2256684400</v>
      </c>
      <c r="AR184">
        <v>58000000</v>
      </c>
      <c r="AS184">
        <v>20124679</v>
      </c>
      <c r="AT184" t="str">
        <v>LD2429534396</v>
      </c>
      <c r="AU184">
        <f>+AP184-AR184</f>
        <v>2198684400</v>
      </c>
    </row>
    <row r="185">
      <c r="B185" t="str">
        <v>Lương Bảy T8</v>
      </c>
      <c r="L185">
        <v>12000000</v>
      </c>
      <c r="AC185">
        <v>33280000</v>
      </c>
      <c r="AD185">
        <v>12466879</v>
      </c>
      <c r="AE185" t="str">
        <v>LD2433760944</v>
      </c>
      <c r="AF185">
        <v>1364695964</v>
      </c>
      <c r="AH185">
        <v>33280000</v>
      </c>
      <c r="AI185">
        <v>13347846</v>
      </c>
      <c r="AJ185" t="str">
        <v>LD2433760944</v>
      </c>
      <c r="AK185">
        <f>+AF185-AH185</f>
        <v>1331415964</v>
      </c>
      <c r="AM185">
        <v>33280000</v>
      </c>
      <c r="AN185">
        <v>9575250</v>
      </c>
      <c r="AO185" t="str">
        <v>LD2433760944</v>
      </c>
      <c r="AP185">
        <f>+AK185-AM185</f>
        <v>1298135964</v>
      </c>
      <c r="AR185">
        <v>33280000</v>
      </c>
      <c r="AS185">
        <v>11576525</v>
      </c>
      <c r="AT185" t="str">
        <v>LD2433760944</v>
      </c>
      <c r="AU185">
        <f>+AP185-AR185</f>
        <v>1264855964</v>
      </c>
    </row>
    <row r="186">
      <c r="B186" t="str">
        <v xml:space="preserve">ống thép </v>
      </c>
      <c r="L186">
        <v>8081000</v>
      </c>
      <c r="AC186">
        <v>118490000</v>
      </c>
      <c r="AD186">
        <v>38885397</v>
      </c>
      <c r="AE186" t="str">
        <v>LD2530472085</v>
      </c>
      <c r="AF186">
        <v>4858077343</v>
      </c>
      <c r="AH186">
        <v>118490000</v>
      </c>
      <c r="AI186">
        <v>41633057</v>
      </c>
      <c r="AJ186" t="str">
        <v>LD2530472085</v>
      </c>
      <c r="AK186">
        <f>+AF186-AH186</f>
        <v>4739587343</v>
      </c>
      <c r="AM186">
        <v>118490000</v>
      </c>
      <c r="AN186">
        <v>29865893</v>
      </c>
      <c r="AO186" t="str">
        <v>LD2530472085</v>
      </c>
      <c r="AP186">
        <f>+AK186-AM186</f>
        <v>4621097343</v>
      </c>
      <c r="AR186">
        <v>118490000</v>
      </c>
      <c r="AS186">
        <v>36107862</v>
      </c>
      <c r="AT186" t="str">
        <v>LD2530472085</v>
      </c>
      <c r="AU186">
        <f>+AP186-AR186</f>
        <v>4502607343</v>
      </c>
    </row>
    <row r="187">
      <c r="B187" t="str">
        <v>Sơn hải phòng</v>
      </c>
      <c r="L187">
        <v>2524000</v>
      </c>
      <c r="AC187">
        <f>+SUM(AC175:AC186)</f>
        <v>803265000</v>
      </c>
      <c r="AD187">
        <f>+SUM(AD175:AD186)</f>
        <v>275041869</v>
      </c>
      <c r="AE187" t="str">
        <v>Tổng</v>
      </c>
      <c r="AF187">
        <f>+SUM(AF175:AF186)</f>
        <v>33021745270</v>
      </c>
      <c r="AH187">
        <f>+SUM(AH175:AH186)</f>
        <v>803265000</v>
      </c>
      <c r="AI187">
        <f>+SUM(AI175:AI186)</f>
        <v>290995714</v>
      </c>
      <c r="AJ187" t="str">
        <v>Tổng</v>
      </c>
      <c r="AK187">
        <f>+SUM(AK175:AK186)</f>
        <v>32218480270</v>
      </c>
      <c r="AM187">
        <f>+SUM(AM175:AM186)</f>
        <v>803265000</v>
      </c>
      <c r="AN187">
        <f>+SUM(AN175:AN186)</f>
        <v>214314662</v>
      </c>
      <c r="AO187" t="str">
        <v>Tổng</v>
      </c>
      <c r="AP187">
        <f>+SUM(AP175:AP186)</f>
        <v>31415215270</v>
      </c>
      <c r="AR187">
        <f>+SUM(AR175:AR186)</f>
        <v>803265000</v>
      </c>
      <c r="AS187">
        <f>+SUM(AS175:AS186)</f>
        <v>261987302</v>
      </c>
      <c r="AT187" t="str">
        <v>Tổng</v>
      </c>
      <c r="AU187">
        <f>+SUM(AU175:AU186)</f>
        <v>30611950270</v>
      </c>
    </row>
    <row r="188">
      <c r="B188" t="str">
        <v>Công nhật tổ Hoạt</v>
      </c>
      <c r="L188">
        <v>4000000</v>
      </c>
      <c r="AC188" t="str">
        <v>Gốc</v>
      </c>
      <c r="AD188" t="str">
        <v>Lãi</v>
      </c>
      <c r="AF188" t="str">
        <v>Dư nợ còn lại</v>
      </c>
      <c r="AH188" t="str">
        <v>Gốc</v>
      </c>
      <c r="AI188" t="str">
        <v>Lãi</v>
      </c>
      <c r="AK188" t="str">
        <v>Dư nợ còn lại</v>
      </c>
      <c r="AM188" t="str">
        <v>Gốc</v>
      </c>
      <c r="AN188" t="str">
        <v>Lãi</v>
      </c>
      <c r="AP188" t="str">
        <v>Dư nợ còn lại</v>
      </c>
      <c r="AR188" t="str">
        <v>Gốc</v>
      </c>
      <c r="AS188" t="str">
        <v>Lãi</v>
      </c>
      <c r="AU188" t="str">
        <v>Dư nợ còn lại</v>
      </c>
    </row>
    <row r="189">
      <c r="B189" t="str">
        <v>ứng lương Lê Ngọc Hoa</v>
      </c>
      <c r="L189">
        <v>2000000</v>
      </c>
      <c r="AH189">
        <f>+AH187+AI187</f>
        <v>1094260714</v>
      </c>
      <c r="AM189">
        <f>+AM187+AN187</f>
        <v>1017579662</v>
      </c>
    </row>
    <row r="190">
      <c r="B190" t="str">
        <v>Cắt chữ, bảng trắng, sơn</v>
      </c>
      <c r="L190">
        <v>3200000</v>
      </c>
      <c r="T190" t="str">
        <v>-</v>
      </c>
      <c r="AC190">
        <v>1699179500</v>
      </c>
      <c r="AD190" t="str">
        <v>17/3/2026</v>
      </c>
      <c r="AE190" t="str">
        <v>LD2607692676</v>
      </c>
      <c r="AF190" t="str">
        <v>VG36</v>
      </c>
      <c r="AH190">
        <f>+AD11-AH189</f>
        <v>2954697487</v>
      </c>
      <c r="AI190">
        <v>402625977</v>
      </c>
      <c r="AJ190">
        <f>+AD11-AI190-AH187</f>
        <v>2843067224</v>
      </c>
      <c r="AM190">
        <f>+AD11-AM189</f>
        <v>3031378539</v>
      </c>
      <c r="AN190">
        <v>3265778</v>
      </c>
      <c r="AO190">
        <f>+AM190-AN190</f>
        <v>3028112761</v>
      </c>
    </row>
    <row r="191">
      <c r="B191" t="str">
        <v>ứng lương; Nguyễn Trường Giang</v>
      </c>
      <c r="L191">
        <v>5000000</v>
      </c>
      <c r="T191" t="str">
        <v>-</v>
      </c>
      <c r="AC191">
        <v>898178250</v>
      </c>
      <c r="AD191" t="str">
        <v>26/1/2026</v>
      </c>
      <c r="AE191" t="str">
        <v>LD2602660410</v>
      </c>
      <c r="AF191" t="str">
        <v>VG09,VG15</v>
      </c>
      <c r="AG191" t="str">
        <v>LO</v>
      </c>
    </row>
    <row r="192">
      <c r="B192" t="str">
        <v>ứng lương; Lê Thân Thắng</v>
      </c>
      <c r="L192">
        <v>5769000</v>
      </c>
      <c r="T192" t="str">
        <v>-</v>
      </c>
      <c r="AC192">
        <v>740611300</v>
      </c>
      <c r="AD192" t="str">
        <v>21/1/2026</v>
      </c>
      <c r="AE192" t="str">
        <v>LD2602109740</v>
      </c>
      <c r="AF192" t="str">
        <v>VG05</v>
      </c>
    </row>
    <row r="193">
      <c r="B193" t="str">
        <v>Motor, ship</v>
      </c>
      <c r="L193">
        <v>7250000</v>
      </c>
      <c r="T193" t="str">
        <v>-</v>
      </c>
      <c r="AC193">
        <v>1390134000</v>
      </c>
      <c r="AD193" t="str">
        <v>3/4/2026</v>
      </c>
      <c r="AE193" t="str">
        <v>LD2609337347</v>
      </c>
      <c r="AF193" t="str">
        <v>VG18</v>
      </c>
    </row>
    <row r="194">
      <c r="B194" t="str">
        <v>Vật tư Việt Chính</v>
      </c>
      <c r="L194">
        <v>18108000</v>
      </c>
      <c r="AC194">
        <v>1606762600</v>
      </c>
      <c r="AD194" t="str">
        <v>23/3/2026</v>
      </c>
      <c r="AE194" t="str">
        <v>LD2608259929</v>
      </c>
    </row>
    <row r="195">
      <c r="B195" t="str">
        <v>Vật tư Minh Ngọc</v>
      </c>
      <c r="L195">
        <v>3350000</v>
      </c>
      <c r="AH195">
        <v>579215880</v>
      </c>
      <c r="AI195" t="str">
        <v>VG18</v>
      </c>
    </row>
    <row r="196">
      <c r="B196" t="str">
        <v>Vật tư Minh Ngoan</v>
      </c>
      <c r="L196">
        <v>1400000</v>
      </c>
      <c r="AH196">
        <v>735064640</v>
      </c>
      <c r="AI196" t="str">
        <v>VG36</v>
      </c>
    </row>
    <row r="197">
      <c r="B197" t="str">
        <v>Vật tư Minh Nhật</v>
      </c>
      <c r="L197">
        <v>3675000</v>
      </c>
      <c r="AC197" t="str">
        <v>VG05</v>
      </c>
      <c r="AD197">
        <v>1070442600</v>
      </c>
      <c r="AE197">
        <v>371165300</v>
      </c>
      <c r="AF197" t="str">
        <v>VG15</v>
      </c>
      <c r="AH197">
        <v>384989980</v>
      </c>
      <c r="AI197" t="str">
        <v>VG18</v>
      </c>
    </row>
    <row r="198">
      <c r="B198" t="str">
        <v>Nạp ắc quy</v>
      </c>
      <c r="L198">
        <v>3400000</v>
      </c>
      <c r="AC198" t="str">
        <v>VG15</v>
      </c>
      <c r="AD198">
        <v>536320000</v>
      </c>
      <c r="AE198">
        <v>367162950</v>
      </c>
      <c r="AF198" t="str">
        <v>VG09</v>
      </c>
      <c r="AH198">
        <f>+SUM(AH195:AH197)</f>
        <v>1699270500</v>
      </c>
    </row>
    <row r="199">
      <c r="B199" t="str">
        <v>Que Hàn</v>
      </c>
      <c r="L199">
        <v>1120000</v>
      </c>
      <c r="AD199">
        <f>+SUM(AD196:AD198)</f>
        <v>1606762600</v>
      </c>
      <c r="AE199">
        <f>+SUM(AE196:AE198)</f>
        <v>738328250</v>
      </c>
    </row>
    <row r="200">
      <c r="B200" t="str">
        <v>In hồ sơ PCCC</v>
      </c>
      <c r="L200">
        <v>1700000</v>
      </c>
    </row>
    <row r="201">
      <c r="B201" t="str">
        <v>Máy bơm dầu nhờn</v>
      </c>
      <c r="L201">
        <v>8640000</v>
      </c>
      <c r="AE201" t="str">
        <v>VG05</v>
      </c>
      <c r="AF201">
        <f>+AD197+AC192</f>
        <v>1811053900</v>
      </c>
      <c r="AG201">
        <v>39962500</v>
      </c>
      <c r="AH201">
        <f>+AF201+AG201</f>
        <v>1851016400</v>
      </c>
    </row>
    <row r="202">
      <c r="B202" t="str">
        <v>Ghế lái tàu thuỷ</v>
      </c>
      <c r="L202">
        <f>12925000+12925000</f>
        <v>25850000</v>
      </c>
      <c r="AE202" t="str">
        <v>VG09</v>
      </c>
      <c r="AF202">
        <f>+AE198</f>
        <v>367162950</v>
      </c>
      <c r="AG202">
        <v>39962500</v>
      </c>
      <c r="AH202">
        <f>+AF202+AG202</f>
        <v>407125450</v>
      </c>
    </row>
    <row r="203">
      <c r="B203" t="str">
        <v>Dầu nhờn</v>
      </c>
      <c r="L203">
        <v>54000000</v>
      </c>
      <c r="AC203">
        <f>+L203/11800</f>
        <v>4576.271186440678</v>
      </c>
      <c r="AE203" t="str">
        <v>VG15</v>
      </c>
      <c r="AF203">
        <f>+AD198+AE197</f>
        <v>907485300</v>
      </c>
      <c r="AG203">
        <v>39962500</v>
      </c>
      <c r="AH203">
        <f>+AF203+AG203</f>
        <v>947447800</v>
      </c>
    </row>
    <row r="204">
      <c r="B204" t="str">
        <v>Dây buộc tàu</v>
      </c>
      <c r="L204">
        <v>60000000</v>
      </c>
      <c r="AE204" t="str">
        <v>VG18</v>
      </c>
      <c r="AF204">
        <f>+AC193+AH195+AH197</f>
        <v>2354339860</v>
      </c>
      <c r="AH204">
        <f>+AF204+AG204</f>
        <v>2354339860</v>
      </c>
    </row>
    <row r="205">
      <c r="B205" t="str">
        <v>Ống thép đúc</v>
      </c>
      <c r="L205">
        <v>6271360</v>
      </c>
      <c r="AE205" t="str">
        <v>VG36</v>
      </c>
      <c r="AF205">
        <f>+AH196</f>
        <v>735064640</v>
      </c>
      <c r="AG205">
        <v>39962500</v>
      </c>
      <c r="AH205">
        <f>+AF205+AG205</f>
        <v>775027140</v>
      </c>
    </row>
    <row r="206">
      <c r="B206" t="str">
        <v>Giấy VTD</v>
      </c>
      <c r="L206">
        <v>9000000</v>
      </c>
    </row>
    <row r="207">
      <c r="B207" t="str">
        <v>Ống đồng, keo, van giảm áp, đồng hồ khí, gioăng cao su, côn inox, gioăng phớt…</v>
      </c>
      <c r="L207">
        <v>4470000</v>
      </c>
    </row>
    <row r="208">
      <c r="B208" t="str">
        <v>Đồng hồ áp lực, súng đo nhiệt</v>
      </c>
      <c r="L208">
        <v>4230000</v>
      </c>
    </row>
    <row r="209">
      <c r="B209" t="str">
        <v>Phớt bơm nước ngọt máy chính</v>
      </c>
      <c r="L209">
        <v>4400000</v>
      </c>
    </row>
    <row r="210">
      <c r="B210" t="str">
        <v>Dây bảo hộ</v>
      </c>
      <c r="L210">
        <v>500000</v>
      </c>
    </row>
    <row r="211">
      <c r="B211" t="str">
        <v>Cóc 12</v>
      </c>
      <c r="L211">
        <v>36000</v>
      </c>
    </row>
    <row r="212">
      <c r="B212" t="str">
        <v>Tăng đơ lốc 16</v>
      </c>
      <c r="L212">
        <v>990000</v>
      </c>
    </row>
    <row r="213">
      <c r="B213" t="str">
        <v>Mã lý lốc 16</v>
      </c>
      <c r="L213">
        <v>675000</v>
      </c>
    </row>
    <row r="214">
      <c r="B214" t="str">
        <v>2 Soma</v>
      </c>
      <c r="L214">
        <v>4390000</v>
      </c>
    </row>
    <row r="215">
      <c r="B215" t="str">
        <v>Cường hỗ trợ</v>
      </c>
      <c r="L215">
        <v>10000000</v>
      </c>
    </row>
    <row r="216">
      <c r="B216" t="str">
        <v>Đổ dầu bán tải</v>
      </c>
      <c r="L216">
        <v>1000000</v>
      </c>
    </row>
    <row r="217">
      <c r="B217" t="str">
        <v>Ứng tiền Hồng</v>
      </c>
      <c r="L217">
        <v>30000000</v>
      </c>
    </row>
    <row r="218">
      <c r="B218" t="str">
        <v>Bồi dưỡng chạy thử đường dài</v>
      </c>
      <c r="L218">
        <v>8000000</v>
      </c>
    </row>
    <row r="219">
      <c r="B219" t="str">
        <v>Chi phí cảnh vụ chạy thử đường dài</v>
      </c>
      <c r="L219">
        <v>32000000</v>
      </c>
      <c r="U219" t="str">
        <v>CN</v>
      </c>
    </row>
    <row r="220">
      <c r="B220" t="str">
        <v>Taxi mang con dấu ra tàu</v>
      </c>
      <c r="L220">
        <v>500000</v>
      </c>
      <c r="U220" t="str">
        <v>CN</v>
      </c>
      <c r="AH220">
        <v>3215590401</v>
      </c>
      <c r="AI220" t="e">
        <f>+AH220-#REF!</f>
        <v>#REF!</v>
      </c>
      <c r="AL220">
        <f>2380213789+550000</f>
        <v>2380763789</v>
      </c>
    </row>
    <row r="221">
      <c r="B221" t="str">
        <v>ống nhòm, đèn pin, laze, đèn hải đồ</v>
      </c>
      <c r="L221">
        <v>4270000</v>
      </c>
      <c r="U221" t="str">
        <v>CN</v>
      </c>
      <c r="AD221" t="str">
        <v>Gốc</v>
      </c>
      <c r="AE221" t="str">
        <v>Lãi</v>
      </c>
      <c r="AH221">
        <v>2380763789</v>
      </c>
    </row>
    <row r="222">
      <c r="B222" t="str">
        <v>Ứng tiền Hồng</v>
      </c>
      <c r="L222">
        <v>10000000</v>
      </c>
      <c r="U222" t="str">
        <v>CN</v>
      </c>
      <c r="AC222" t="str">
        <v>Tổng</v>
      </c>
      <c r="AD222">
        <f>+SUM(AD223:AD230)</f>
        <v>496120000</v>
      </c>
      <c r="AE222">
        <f>+SUM(AE223:AE230)</f>
        <v>170665313</v>
      </c>
      <c r="AF222">
        <f>+AD222+AE222</f>
        <v>666785313</v>
      </c>
      <c r="AG222">
        <f>+AE222+AF222</f>
        <v>837450626</v>
      </c>
      <c r="AH222">
        <f>+AH220-AH221</f>
        <v>834826612</v>
      </c>
    </row>
    <row r="223">
      <c r="B223" t="str">
        <v>Định giá tài sản cho khoản vay (tạm ứng)</v>
      </c>
      <c r="L223">
        <v>550000</v>
      </c>
      <c r="U223" t="str">
        <v>AB</v>
      </c>
      <c r="AD223">
        <v>83300000</v>
      </c>
      <c r="AE223">
        <v>38939723</v>
      </c>
    </row>
    <row r="224">
      <c r="B224" t="str">
        <v>Mua sơn</v>
      </c>
      <c r="L224">
        <v>8827315</v>
      </c>
      <c r="U224" t="str">
        <v>AB</v>
      </c>
      <c r="AD224">
        <v>51800000</v>
      </c>
      <c r="AE224">
        <v>11325949</v>
      </c>
    </row>
    <row r="225">
      <c r="B225" t="str">
        <v>Mua vật tư</v>
      </c>
      <c r="L225">
        <v>6220800</v>
      </c>
      <c r="U225" t="str">
        <v>AB</v>
      </c>
      <c r="AD225">
        <v>114400000</v>
      </c>
      <c r="AE225">
        <v>28988318</v>
      </c>
    </row>
    <row r="226">
      <c r="B226" t="str">
        <v>Chuyển tiền ngoài Đăng kiểm</v>
      </c>
      <c r="L226">
        <v>315000000</v>
      </c>
      <c r="U226" t="str">
        <v>CN</v>
      </c>
      <c r="AD226">
        <v>39600000</v>
      </c>
      <c r="AE226">
        <v>17633308</v>
      </c>
    </row>
    <row r="227">
      <c r="B227" t="str">
        <v>Đecan phòng</v>
      </c>
      <c r="L227">
        <v>1450000</v>
      </c>
      <c r="U227" t="str">
        <v>CN</v>
      </c>
      <c r="AD227">
        <v>58000000</v>
      </c>
      <c r="AE227">
        <v>19695696</v>
      </c>
    </row>
    <row r="228">
      <c r="B228" t="str">
        <v>Đổ dầu bán tải</v>
      </c>
      <c r="L228">
        <v>1000000</v>
      </c>
      <c r="U228" t="str">
        <v>CN</v>
      </c>
      <c r="AD228">
        <v>48220000</v>
      </c>
      <c r="AE228">
        <v>16410152</v>
      </c>
    </row>
    <row r="229">
      <c r="B229" t="str">
        <v>Giấy ráp, dẻ lau, bulong f20</v>
      </c>
      <c r="L229">
        <v>1000000</v>
      </c>
      <c r="U229" t="str">
        <v>TM</v>
      </c>
      <c r="AD229">
        <v>70120000</v>
      </c>
      <c r="AE229">
        <v>27231707</v>
      </c>
    </row>
    <row r="230">
      <c r="B230" t="str">
        <v>Ứng lương Hoa Q4</v>
      </c>
      <c r="L230">
        <v>6000000</v>
      </c>
      <c r="U230" t="str">
        <v>TM</v>
      </c>
      <c r="AD230">
        <v>30680000</v>
      </c>
      <c r="AE230">
        <v>10440460</v>
      </c>
    </row>
    <row r="231">
      <c r="B231" t="str">
        <v>Lương tàu 18 Q3</v>
      </c>
      <c r="L231">
        <v>131960000</v>
      </c>
      <c r="U231" t="str">
        <v>TM</v>
      </c>
    </row>
    <row r="232">
      <c r="B232" t="str">
        <v>Lương Giang Q3</v>
      </c>
      <c r="L232">
        <v>18352000</v>
      </c>
      <c r="U232" t="str">
        <v>CN</v>
      </c>
    </row>
    <row r="233">
      <c r="B233" t="str">
        <v>Lương Hồng bổ sung</v>
      </c>
      <c r="L233">
        <v>3462000</v>
      </c>
      <c r="U233" t="str">
        <v>CN</v>
      </c>
    </row>
    <row r="234">
      <c r="B234" t="str">
        <v>Lắp đặt camera</v>
      </c>
      <c r="L234">
        <v>14960000</v>
      </c>
      <c r="U234" t="str">
        <v>AB</v>
      </c>
    </row>
    <row r="235">
      <c r="B235" t="str">
        <v>Thẩm định giá BDS</v>
      </c>
      <c r="L235">
        <v>4337740</v>
      </c>
      <c r="U235" t="str">
        <v>AB</v>
      </c>
    </row>
    <row r="236">
      <c r="B236" t="str">
        <v>2 thanh giằng S20</v>
      </c>
      <c r="L236">
        <v>2400000</v>
      </c>
      <c r="U236" t="str">
        <v>CN</v>
      </c>
    </row>
    <row r="237">
      <c r="B237" t="str">
        <v xml:space="preserve">Vật tư máy </v>
      </c>
      <c r="L237">
        <v>10840000</v>
      </c>
      <c r="U237" t="str">
        <v>CN</v>
      </c>
    </row>
    <row r="238">
      <c r="B238" t="str">
        <v>Búa gõ gỉ</v>
      </c>
      <c r="L238">
        <v>2250000</v>
      </c>
      <c r="U238" t="str">
        <v>CN</v>
      </c>
    </row>
    <row r="239">
      <c r="B239" t="str">
        <v>Hoa tiêu chạy thử</v>
      </c>
      <c r="L239">
        <v>6223932</v>
      </c>
      <c r="U239" t="str">
        <v>AB</v>
      </c>
    </row>
    <row r="240">
      <c r="B240" t="str">
        <v>Thiết kế</v>
      </c>
      <c r="M240">
        <v>148392000</v>
      </c>
      <c r="U240" t="str">
        <v>AB</v>
      </c>
      <c r="V240" t="str">
        <v>AB</v>
      </c>
    </row>
    <row r="241">
      <c r="B241" t="str">
        <v xml:space="preserve">Vật tư máy </v>
      </c>
      <c r="M241">
        <v>240000</v>
      </c>
      <c r="V241" t="str">
        <v>CN</v>
      </c>
    </row>
    <row r="242">
      <c r="B242" t="str">
        <v>Phí sửa bộ động cơ máy nén khí</v>
      </c>
      <c r="M242">
        <v>2500000</v>
      </c>
      <c r="V242" t="str">
        <v>CN</v>
      </c>
    </row>
    <row r="243">
      <c r="B243" t="str">
        <v>Dầu Do</v>
      </c>
      <c r="L243">
        <v>179479300</v>
      </c>
      <c r="U243" t="str">
        <v>AB</v>
      </c>
    </row>
    <row r="244">
      <c r="B244" t="str">
        <v>Dầu nhờn</v>
      </c>
      <c r="L244">
        <v>129600000</v>
      </c>
      <c r="M244">
        <v>25500000</v>
      </c>
      <c r="U244" t="str">
        <v>AB</v>
      </c>
      <c r="V244" t="str">
        <v>CN</v>
      </c>
      <c r="AC244">
        <f>+L244/11800</f>
        <v>10983.050847457627</v>
      </c>
    </row>
    <row r="245">
      <c r="B245" t="str">
        <v>Cẩu tời mũi</v>
      </c>
      <c r="M245">
        <v>300000</v>
      </c>
      <c r="V245" t="str">
        <v>CN</v>
      </c>
    </row>
    <row r="246">
      <c r="B246" t="str">
        <v>Cáp thép</v>
      </c>
      <c r="M246">
        <v>14072352</v>
      </c>
      <c r="V246" t="str">
        <v>AB</v>
      </c>
    </row>
    <row r="247">
      <c r="B247" t="str">
        <v>Mỡ bò</v>
      </c>
      <c r="M247">
        <v>1400000</v>
      </c>
      <c r="U247" t="str">
        <v>AB</v>
      </c>
      <c r="V247" t="str">
        <v>TM</v>
      </c>
      <c r="AC247">
        <f>+L247/11800</f>
        <v>0</v>
      </c>
    </row>
    <row r="248">
      <c r="B248" t="str">
        <v xml:space="preserve">Trục cơ + bi trục cơ M24 </v>
      </c>
      <c r="M248">
        <v>1410000</v>
      </c>
      <c r="V248" t="str">
        <v>CN</v>
      </c>
    </row>
    <row r="249">
      <c r="B249" t="str">
        <v>Vật tư vĩnh mua</v>
      </c>
      <c r="M249">
        <v>14486400</v>
      </c>
      <c r="U249" t="str">
        <v>AB</v>
      </c>
      <c r="V249" t="str">
        <v>AB</v>
      </c>
    </row>
    <row r="250">
      <c r="B250" t="str">
        <v>Ống nhựa lõi thép</v>
      </c>
      <c r="M250">
        <v>905000</v>
      </c>
      <c r="U250" t="str">
        <v>AB</v>
      </c>
      <c r="V250" t="str">
        <v>CN</v>
      </c>
    </row>
    <row r="251">
      <c r="B251" t="str">
        <v>Liên hoan</v>
      </c>
      <c r="M251">
        <v>30000000</v>
      </c>
      <c r="V251" t="str">
        <v>CN</v>
      </c>
    </row>
    <row r="252">
      <c r="B252" t="str">
        <v>Phí đăng kiểm</v>
      </c>
      <c r="M252">
        <v>91491975</v>
      </c>
      <c r="V252" t="str">
        <v>AB</v>
      </c>
    </row>
    <row r="253">
      <c r="B253" t="str">
        <v>Phí đăng ký</v>
      </c>
      <c r="M253">
        <v>310110597</v>
      </c>
      <c r="V253" t="str">
        <v>VT</v>
      </c>
    </row>
    <row r="254">
      <c r="B254" t="str">
        <v>Hành chính công</v>
      </c>
      <c r="M254">
        <v>500000</v>
      </c>
      <c r="V254" t="str">
        <v>TM</v>
      </c>
    </row>
    <row r="255">
      <c r="B255" t="str">
        <v>Sở xây dựng làm đăng ký</v>
      </c>
      <c r="M255">
        <v>5000000</v>
      </c>
      <c r="V255" t="str">
        <v>TM</v>
      </c>
    </row>
    <row r="256">
      <c r="B256" t="str">
        <v>Bồi dưỡng văn thư đăng kiểm</v>
      </c>
      <c r="M256">
        <v>500000</v>
      </c>
      <c r="V256" t="str">
        <v>TM</v>
      </c>
    </row>
    <row r="257">
      <c r="B257" t="str">
        <v>Lobby phí trước bạ</v>
      </c>
      <c r="M257">
        <v>2500000</v>
      </c>
      <c r="V257" t="str">
        <v>CN</v>
      </c>
    </row>
    <row r="258">
      <c r="B258" t="str">
        <v>Cảng vụ rời cảng HP</v>
      </c>
      <c r="M258">
        <v>40000000</v>
      </c>
      <c r="V258" t="str">
        <v>TM</v>
      </c>
    </row>
    <row r="259">
      <c r="B259" t="str">
        <v>Taxi ra tàu lấy giấy</v>
      </c>
      <c r="M259">
        <v>1200000</v>
      </c>
      <c r="V259" t="str">
        <v>CN</v>
      </c>
    </row>
    <row r="260">
      <c r="B260" t="str">
        <v>Tivi</v>
      </c>
      <c r="M260">
        <v>5851000</v>
      </c>
      <c r="V260" t="str">
        <v>AB</v>
      </c>
    </row>
    <row r="261">
      <c r="B261" t="str">
        <v>Lập là, Trục</v>
      </c>
      <c r="M261">
        <v>1547000</v>
      </c>
      <c r="T261" t="str">
        <v>-</v>
      </c>
      <c r="V261" t="str">
        <v>CN</v>
      </c>
    </row>
    <row r="262">
      <c r="B262" t="str">
        <v>Liên hoan ngày tàu rời</v>
      </c>
      <c r="M262">
        <v>1860000</v>
      </c>
      <c r="V262" t="str">
        <v>CN</v>
      </c>
    </row>
    <row r="263">
      <c r="B263" t="str">
        <v>Siêu âm tôn</v>
      </c>
      <c r="M263">
        <v>34020000</v>
      </c>
      <c r="V263" t="str">
        <v>AB</v>
      </c>
    </row>
    <row r="264">
      <c r="B264" t="str">
        <v>Dây táp, ren, dây tăng</v>
      </c>
      <c r="N264">
        <v>6190000</v>
      </c>
      <c r="W264" t="str">
        <v>CN</v>
      </c>
    </row>
    <row r="265">
      <c r="B265" t="str">
        <v>Bồi dưỡng tổ phun sơn, Hồng. Cung, Cường. Quỳnh. Giang</v>
      </c>
      <c r="N265">
        <v>3000000</v>
      </c>
      <c r="P265">
        <v>23000000</v>
      </c>
      <c r="W265" t="str">
        <v>CN</v>
      </c>
      <c r="Y265" t="str">
        <v>CN</v>
      </c>
    </row>
    <row r="266">
      <c r="B266" t="str">
        <v>Lăng bằng đồng fi65 và 6 chắn chuột</v>
      </c>
      <c r="N266">
        <f>+(1150000+720000)*1.05+209997</f>
        <v>2173497</v>
      </c>
      <c r="W266" t="str">
        <v>AB</v>
      </c>
    </row>
    <row r="267">
      <c r="B267" t="str">
        <v>2 bơm dầu đốt</v>
      </c>
      <c r="N267">
        <v>13000000</v>
      </c>
      <c r="W267" t="str">
        <v>CN</v>
      </c>
      <c r="AC267">
        <f>8478+79515</f>
        <v>87993</v>
      </c>
    </row>
    <row r="268">
      <c r="B268" t="str">
        <v>Khớp nêm, bích cút</v>
      </c>
      <c r="N268">
        <v>5240400</v>
      </c>
      <c r="W268" t="str">
        <v>AB</v>
      </c>
    </row>
    <row r="269">
      <c r="B269" t="str">
        <v>Căn máy</v>
      </c>
      <c r="O269">
        <v>112320000</v>
      </c>
      <c r="X269" t="str">
        <v>AB</v>
      </c>
    </row>
    <row r="270">
      <c r="B270" t="str">
        <v xml:space="preserve">AIS </v>
      </c>
      <c r="O270">
        <v>56376000</v>
      </c>
      <c r="X270" t="str">
        <v>AB</v>
      </c>
    </row>
    <row r="271">
      <c r="B271" t="str">
        <v>Bồi dưỡng đội hàn Hợp Thành</v>
      </c>
      <c r="P271">
        <v>5000000</v>
      </c>
      <c r="Y271" t="str">
        <v>TM</v>
      </c>
    </row>
    <row r="272">
      <c r="B272" t="str">
        <v>Thiết kế dự án 10000</v>
      </c>
      <c r="R272">
        <v>100000000</v>
      </c>
      <c r="AA272" t="str">
        <v>AB</v>
      </c>
    </row>
    <row r="273">
      <c r="A273" t="str">
        <v>B</v>
      </c>
      <c r="B273" t="str">
        <v>Chi phí Văn phòng</v>
      </c>
      <c r="L273">
        <f>+SUM(L274:L298)</f>
        <v>529212075</v>
      </c>
      <c r="M273">
        <f>+SUM(M274:M298)</f>
        <v>176153748</v>
      </c>
      <c r="N273">
        <f>+SUM(N274:N298)</f>
        <v>291109427</v>
      </c>
      <c r="O273">
        <f>+SUM(O274:O298)</f>
        <v>261121732</v>
      </c>
      <c r="P273">
        <f>+SUM(P274:P298)</f>
        <v>718908165</v>
      </c>
      <c r="Q273">
        <f>+SUM(Q274:Q298)</f>
        <v>123958125</v>
      </c>
      <c r="R273">
        <f>+SUM(R274:R298)</f>
        <v>227794118</v>
      </c>
      <c r="S273">
        <f>+SUM(S274:S298)</f>
        <v>203054415</v>
      </c>
      <c r="T273">
        <f>+SUM(K273:Q273)</f>
        <v>2100463272</v>
      </c>
      <c r="AC273">
        <f>+O273-O291-O295</f>
        <v>137410732</v>
      </c>
      <c r="AD273">
        <f>+P273-P291-P295-P287-P294</f>
        <v>198663165</v>
      </c>
      <c r="AE273">
        <v>140000000</v>
      </c>
    </row>
    <row r="274">
      <c r="B274" t="str">
        <v>Lương VP</v>
      </c>
      <c r="L274">
        <f>243330000+20000000+72000000+20000000</f>
        <v>355330000</v>
      </c>
      <c r="P274">
        <f>128060000</f>
        <v>128060000</v>
      </c>
      <c r="Q274">
        <f>205385000-105521333-26580000</f>
        <v>73283667</v>
      </c>
      <c r="R274">
        <v>95715000</v>
      </c>
      <c r="Y274" t="str">
        <v>VT</v>
      </c>
      <c r="Z274" t="str">
        <v>VT</v>
      </c>
      <c r="AA274" t="str">
        <v>VT</v>
      </c>
      <c r="AC274">
        <f>+AC273/5/1000</f>
        <v>27482.146399999998</v>
      </c>
      <c r="AD274">
        <f>+AD273/5/1000</f>
        <v>39732.633</v>
      </c>
      <c r="AE274">
        <f>+AE273/5/1000</f>
        <v>28000</v>
      </c>
    </row>
    <row r="275">
      <c r="B275" t="str">
        <v>Lương Vĩnh</v>
      </c>
      <c r="L275">
        <v>60000000</v>
      </c>
      <c r="M275">
        <v>60000000</v>
      </c>
      <c r="N275">
        <v>60000000</v>
      </c>
      <c r="O275">
        <v>60000000</v>
      </c>
      <c r="R275">
        <v>67650000</v>
      </c>
      <c r="V275" t="str">
        <v>CN</v>
      </c>
      <c r="W275" t="str">
        <v>CN</v>
      </c>
      <c r="X275" t="str">
        <v>CN</v>
      </c>
      <c r="AA275" t="str">
        <v>VT</v>
      </c>
      <c r="AC275">
        <f>++SUM(L275:L286)</f>
        <v>103354075</v>
      </c>
      <c r="AD275">
        <f>++SUM(M275:M286)+SUM(M288:M291)</f>
        <v>106233748</v>
      </c>
      <c r="AE275">
        <f>++SUM(N275:N286)+SUM(N293:N298)</f>
        <v>149863427</v>
      </c>
    </row>
    <row r="276">
      <c r="B276" t="str">
        <v>Lương Chị Phương</v>
      </c>
      <c r="L276">
        <v>40000000</v>
      </c>
      <c r="M276">
        <v>20000000</v>
      </c>
      <c r="N276">
        <v>20000000</v>
      </c>
      <c r="O276">
        <v>20000000</v>
      </c>
      <c r="P276">
        <v>12805000</v>
      </c>
      <c r="Q276">
        <v>4805000</v>
      </c>
      <c r="R276">
        <f>16905000+3095000</f>
        <v>20000000</v>
      </c>
      <c r="V276" t="str">
        <v>CN</v>
      </c>
      <c r="W276" t="str">
        <v>CN</v>
      </c>
      <c r="X276" t="str">
        <v>CN</v>
      </c>
      <c r="Y276" t="str">
        <v>CN</v>
      </c>
      <c r="Z276" t="str">
        <v>CN</v>
      </c>
      <c r="AA276" t="str">
        <v>VT</v>
      </c>
      <c r="AC276">
        <f>+AC275/4</f>
        <v>25838518.75</v>
      </c>
      <c r="AD276">
        <f>+AD275/4</f>
        <v>26558437</v>
      </c>
      <c r="AE276">
        <f>+AE275/5</f>
        <v>29972685.4</v>
      </c>
    </row>
    <row r="277">
      <c r="B277" t="str">
        <v>Lương Tùng</v>
      </c>
      <c r="N277">
        <f>40000000-11789000+4500000+3000000+1500000</f>
        <v>37211000</v>
      </c>
      <c r="O277">
        <v>40000000</v>
      </c>
      <c r="P277">
        <f>20905000-797467</f>
        <v>20107533</v>
      </c>
      <c r="Q277">
        <v>25780000</v>
      </c>
      <c r="R277">
        <f>15755000+24245000</f>
        <v>40000000</v>
      </c>
      <c r="W277" t="str">
        <v>CN</v>
      </c>
      <c r="X277" t="str">
        <v>CN</v>
      </c>
      <c r="Y277" t="str">
        <v>CN</v>
      </c>
      <c r="Z277" t="str">
        <v>CN</v>
      </c>
      <c r="AA277" t="str">
        <v>VT</v>
      </c>
    </row>
    <row r="278">
      <c r="B278" t="str">
        <v>VAT sử lý hoá đơn</v>
      </c>
      <c r="M278">
        <f>4273750-330000</f>
        <v>3943750</v>
      </c>
      <c r="N278">
        <v>7500000</v>
      </c>
      <c r="Q278">
        <v>11550000</v>
      </c>
      <c r="V278" t="str">
        <v>AB</v>
      </c>
      <c r="W278" t="str">
        <v>AB</v>
      </c>
      <c r="Z278" t="str">
        <v>AB</v>
      </c>
    </row>
    <row r="279">
      <c r="B279" t="str">
        <v>Quản lý TK + SMS</v>
      </c>
      <c r="L279">
        <f>33000+165000+150000</f>
        <v>348000</v>
      </c>
      <c r="M279">
        <f>33000+165000-164435</f>
        <v>33565</v>
      </c>
      <c r="N279">
        <f>33000+165000</f>
        <v>198000</v>
      </c>
      <c r="O279">
        <f>33000+165000</f>
        <v>198000</v>
      </c>
      <c r="P279">
        <f>33000+165000</f>
        <v>198000</v>
      </c>
      <c r="Q279">
        <f>33000+80000+165000</f>
        <v>278000</v>
      </c>
      <c r="R279">
        <v>165000</v>
      </c>
      <c r="S279">
        <v>165000</v>
      </c>
      <c r="V279" t="str">
        <v>AB</v>
      </c>
      <c r="W279" t="str">
        <v>AB</v>
      </c>
      <c r="X279" t="str">
        <v>AB</v>
      </c>
      <c r="Y279" t="str">
        <v>AB</v>
      </c>
      <c r="Z279" t="str">
        <v>AB</v>
      </c>
      <c r="AA279" t="str">
        <v>AB</v>
      </c>
      <c r="AB279" t="str">
        <v>AB</v>
      </c>
    </row>
    <row r="280">
      <c r="B280" t="str">
        <v>Cước Điện Thoại</v>
      </c>
      <c r="L280">
        <v>924075</v>
      </c>
      <c r="M280">
        <f>213705+617228</f>
        <v>830933</v>
      </c>
      <c r="N280">
        <f>290000+627000</f>
        <v>917000</v>
      </c>
      <c r="O280">
        <f>365882+639350</f>
        <v>1005232</v>
      </c>
      <c r="P280">
        <f>333886+509479</f>
        <v>843365</v>
      </c>
      <c r="Q280">
        <f>454028+298000+2368800</f>
        <v>3120828</v>
      </c>
      <c r="R280">
        <f>284342+491702</f>
        <v>776044</v>
      </c>
      <c r="S280">
        <v>796915</v>
      </c>
      <c r="V280" t="str">
        <v>CN</v>
      </c>
      <c r="W280" t="str">
        <v>CN</v>
      </c>
      <c r="X280" t="str">
        <v>CN</v>
      </c>
      <c r="Y280" t="str">
        <v>CN</v>
      </c>
      <c r="Z280" t="str">
        <v>CN</v>
      </c>
      <c r="AA280" t="str">
        <v>CN</v>
      </c>
      <c r="AB280" t="str">
        <v>CN</v>
      </c>
    </row>
    <row r="281">
      <c r="B281" t="str">
        <v>Phí SMS Viettin</v>
      </c>
      <c r="N281">
        <v>160000</v>
      </c>
      <c r="O281">
        <f>150000+10000</f>
        <v>160000</v>
      </c>
      <c r="P281">
        <v>150000</v>
      </c>
      <c r="Q281">
        <v>160000</v>
      </c>
      <c r="R281">
        <v>150000</v>
      </c>
      <c r="S281">
        <v>100000</v>
      </c>
      <c r="V281" t="str">
        <v>VT</v>
      </c>
      <c r="W281" t="str">
        <v>VT</v>
      </c>
      <c r="X281" t="str">
        <v>VT</v>
      </c>
      <c r="Y281" t="str">
        <v>VT</v>
      </c>
      <c r="Z281" t="str">
        <v>VT</v>
      </c>
      <c r="AA281" t="str">
        <v>VT</v>
      </c>
      <c r="AB281" t="str">
        <v>VT</v>
      </c>
    </row>
    <row r="282">
      <c r="B282" t="str">
        <v>Lễ  tết vp</v>
      </c>
      <c r="L282">
        <v>2000000</v>
      </c>
      <c r="O282">
        <v>1500000</v>
      </c>
      <c r="U282" t="str">
        <v>CN</v>
      </c>
      <c r="X282" t="str">
        <v>CN</v>
      </c>
    </row>
    <row r="283">
      <c r="B283" t="str">
        <v>Phí chuyển tiền VT</v>
      </c>
      <c r="L283">
        <v>82000</v>
      </c>
      <c r="M283">
        <f>38500+22000+65000+10000+90000</f>
        <v>225500</v>
      </c>
      <c r="N283">
        <f>16137+44000+22000+5000</f>
        <v>87137</v>
      </c>
      <c r="O283">
        <f>44000+38500+5000+213000+267000</f>
        <v>567500</v>
      </c>
      <c r="P283">
        <f>39000+43500+50600+96800+118800+74800+91300+22000+15000</f>
        <v>551800</v>
      </c>
      <c r="Q283">
        <f>38410+5000-1</f>
        <v>43409</v>
      </c>
      <c r="R283">
        <f>38500+15000</f>
        <v>53500</v>
      </c>
      <c r="S283">
        <v>48500</v>
      </c>
      <c r="U283" t="str">
        <v>VT</v>
      </c>
      <c r="V283" t="str">
        <v>VT</v>
      </c>
      <c r="W283" t="str">
        <v>VT</v>
      </c>
      <c r="X283" t="str">
        <v>VT</v>
      </c>
      <c r="Y283" t="str">
        <v>VT</v>
      </c>
      <c r="Z283" t="str">
        <v>VT</v>
      </c>
      <c r="AA283" t="str">
        <v>VT</v>
      </c>
      <c r="AB283" t="str">
        <v>VT</v>
      </c>
      <c r="AC283">
        <v>567500</v>
      </c>
    </row>
    <row r="284">
      <c r="B284" t="str">
        <v>Phí chuyển tiền AB</v>
      </c>
      <c r="Q284">
        <f>588743+294976+11000+2</f>
        <v>894721</v>
      </c>
      <c r="R284">
        <f>764574</f>
        <v>764574</v>
      </c>
      <c r="Z284" t="str">
        <v>AB</v>
      </c>
      <c r="AA284" t="str">
        <v>AB</v>
      </c>
    </row>
    <row r="285">
      <c r="B285" t="str">
        <v>VPP</v>
      </c>
      <c r="Q285">
        <v>2749000</v>
      </c>
      <c r="R285">
        <v>20000</v>
      </c>
      <c r="Z285" t="str">
        <v>CN</v>
      </c>
      <c r="AA285" t="str">
        <v>AB</v>
      </c>
    </row>
    <row r="286">
      <c r="B286" t="str">
        <v>Tiền ủng hộ</v>
      </c>
      <c r="M286">
        <v>5000000</v>
      </c>
      <c r="V286" t="str">
        <v>CN</v>
      </c>
      <c r="AE286">
        <f>+AE11-3311001</f>
        <v>1011952882.1851854</v>
      </c>
    </row>
    <row r="287">
      <c r="B287" t="str">
        <v>Bảo Hiểm Xã Hội</v>
      </c>
      <c r="L287">
        <v>70528000</v>
      </c>
      <c r="M287">
        <v>69920000</v>
      </c>
      <c r="N287">
        <v>75696000</v>
      </c>
      <c r="P287">
        <v>11520000</v>
      </c>
      <c r="U287" t="str">
        <v>AB</v>
      </c>
      <c r="V287" t="str">
        <v>AB</v>
      </c>
      <c r="W287" t="str">
        <v>AB</v>
      </c>
      <c r="Y287" t="str">
        <v>VT</v>
      </c>
    </row>
    <row r="288">
      <c r="B288" t="str">
        <v>Sửa xe tải</v>
      </c>
      <c r="M288">
        <v>12000000</v>
      </c>
      <c r="V288" t="str">
        <v>AB</v>
      </c>
      <c r="AE288">
        <f>+AE13-3311001</f>
        <v>-3311001</v>
      </c>
    </row>
    <row r="289">
      <c r="B289" t="str">
        <v>Đổ dầu xe bán tải</v>
      </c>
      <c r="M289">
        <v>2200000</v>
      </c>
      <c r="O289">
        <v>1000000</v>
      </c>
      <c r="P289">
        <v>2000000</v>
      </c>
      <c r="R289">
        <v>1500000</v>
      </c>
      <c r="V289" t="str">
        <v>VT</v>
      </c>
      <c r="X289" t="str">
        <v>CN</v>
      </c>
      <c r="Y289" t="str">
        <v>CN</v>
      </c>
      <c r="AA289" t="str">
        <v>CN</v>
      </c>
    </row>
    <row r="290">
      <c r="B290" t="str">
        <v>Xăng xe</v>
      </c>
      <c r="M290">
        <v>1000000</v>
      </c>
      <c r="P290">
        <v>3000000</v>
      </c>
      <c r="S290">
        <v>1944000</v>
      </c>
      <c r="V290" t="str">
        <v>TM</v>
      </c>
      <c r="Y290" t="str">
        <v>TM</v>
      </c>
      <c r="AB290" t="str">
        <v>CN</v>
      </c>
      <c r="AE290">
        <f>+AE15-3311001</f>
        <v>-3311001</v>
      </c>
    </row>
    <row r="291">
      <c r="B291" t="str">
        <v>Sửa xe công ty</v>
      </c>
      <c r="M291">
        <v>1000000</v>
      </c>
      <c r="O291">
        <v>23700000</v>
      </c>
      <c r="P291">
        <f>1700000</f>
        <v>1700000</v>
      </c>
      <c r="V291" t="str">
        <v>TM</v>
      </c>
      <c r="X291" t="str">
        <v>CN</v>
      </c>
      <c r="Y291" t="str">
        <v>CN</v>
      </c>
    </row>
    <row r="292">
      <c r="B292" t="str">
        <v xml:space="preserve">Thẩm định </v>
      </c>
      <c r="N292">
        <f>550000+30000000+35000000</f>
        <v>65550000</v>
      </c>
      <c r="W292" t="str">
        <v>AB</v>
      </c>
      <c r="AE292">
        <f>+AE17-3311001</f>
        <v>-3311001</v>
      </c>
    </row>
    <row r="293">
      <c r="B293" t="str">
        <v>Taxi, Vé máy bay</v>
      </c>
      <c r="N293">
        <v>2800000</v>
      </c>
      <c r="O293">
        <v>10030000</v>
      </c>
      <c r="Q293">
        <v>1100000</v>
      </c>
      <c r="W293" t="str">
        <v>CN</v>
      </c>
      <c r="X293" t="str">
        <v>AB</v>
      </c>
      <c r="Z293" t="str">
        <v>CN</v>
      </c>
    </row>
    <row r="294">
      <c r="B294" t="str">
        <v>Chi phí của Giám đốc</v>
      </c>
      <c r="N294">
        <v>10000000</v>
      </c>
      <c r="P294">
        <f>556485000-45000000-4460000</f>
        <v>507025000</v>
      </c>
      <c r="S294">
        <v>200000000</v>
      </c>
      <c r="W294" t="str">
        <v>CN</v>
      </c>
      <c r="Y294" t="str">
        <v>TM</v>
      </c>
      <c r="AB294" t="str">
        <v>VT</v>
      </c>
    </row>
    <row r="295">
      <c r="B295" t="str">
        <v>Thuế TNDN</v>
      </c>
      <c r="O295">
        <v>100011000</v>
      </c>
      <c r="Q295">
        <v>193500</v>
      </c>
      <c r="X295" t="str">
        <v>AB</v>
      </c>
      <c r="Z295" t="str">
        <v>VT</v>
      </c>
    </row>
    <row r="296">
      <c r="B296" t="str">
        <v>Tìm thuyền viên</v>
      </c>
      <c r="P296">
        <v>5000000</v>
      </c>
      <c r="Y296" t="str">
        <v>CN</v>
      </c>
    </row>
    <row r="297">
      <c r="B297" t="str">
        <v>Hiếu Hỉ</v>
      </c>
      <c r="N297">
        <f>6600000-1400000-1500000</f>
        <v>3700000</v>
      </c>
      <c r="O297">
        <v>500000</v>
      </c>
      <c r="P297">
        <v>1000000</v>
      </c>
      <c r="R297">
        <v>1000000</v>
      </c>
      <c r="W297" t="str">
        <v>CN</v>
      </c>
      <c r="X297" t="str">
        <v>CN</v>
      </c>
      <c r="Y297" t="str">
        <v>CN</v>
      </c>
      <c r="AA297" t="str">
        <v>CN</v>
      </c>
    </row>
    <row r="298">
      <c r="B298" t="str">
        <v>Tiếp khách</v>
      </c>
      <c r="N298">
        <f>7473600-183310</f>
        <v>7290290</v>
      </c>
      <c r="O298">
        <v>2450000</v>
      </c>
      <c r="P298">
        <f>1500000+5000000-552533+15000000+4000000</f>
        <v>24947467</v>
      </c>
      <c r="W298" t="str">
        <v>AB</v>
      </c>
      <c r="X298" t="str">
        <v>CN</v>
      </c>
      <c r="Y298" t="str">
        <v>CN</v>
      </c>
      <c r="AC298">
        <f>+Q329+Q373+Q424+Q468+Q511</f>
        <v>64594240</v>
      </c>
      <c r="AE298">
        <f>+AE17-3311001</f>
        <v>-3311001</v>
      </c>
    </row>
    <row r="299">
      <c r="A299" t="str">
        <v>C</v>
      </c>
      <c r="B299" t="str">
        <v>Chi phí khai thác</v>
      </c>
      <c r="L299">
        <f>+L300+L341+L391+L482</f>
        <v>4796313410</v>
      </c>
      <c r="M299">
        <f>+M300+M341+M391+M482+M434</f>
        <v>3653807816</v>
      </c>
      <c r="N299">
        <f>+N300+N341+N391+N482+N434</f>
        <v>4911929331.481482</v>
      </c>
      <c r="O299">
        <f>+O300+O341+O391+O482+O434</f>
        <v>7150525873</v>
      </c>
      <c r="P299">
        <f>+P300+P341+P391+P482+P434</f>
        <v>4879845230</v>
      </c>
      <c r="Q299">
        <f>+Q300+Q341+Q391+Q482+Q434</f>
        <v>8909949891.333332</v>
      </c>
      <c r="R299">
        <f>+R300+R341+R391+R482+R434</f>
        <v>9164390445</v>
      </c>
      <c r="S299">
        <f>+S300+S341+S391+S482+S434</f>
        <v>3003822069</v>
      </c>
      <c r="T299">
        <f>+SUM(K299:Q299)</f>
        <v>34302371551.814816</v>
      </c>
      <c r="AC299">
        <f>+Q331+Q377+Q428+Q472+Q514</f>
        <v>106065000</v>
      </c>
    </row>
    <row r="300">
      <c r="A300" t="str">
        <v>05</v>
      </c>
      <c r="B300" t="str">
        <v>Vũ Gia 05</v>
      </c>
      <c r="L300">
        <f>+L301+L307+L323+L328+L331+L334+L317</f>
        <v>1279771442</v>
      </c>
      <c r="M300">
        <f>+M301+M307+M323+M328+M331+M334+M317</f>
        <v>681728802</v>
      </c>
      <c r="N300">
        <f>+N301+N307+N323+N328+N331+N334+N317</f>
        <v>599711491</v>
      </c>
      <c r="O300">
        <f>+O301+O307+O323+O328+O331+O334+O317</f>
        <v>1018007832</v>
      </c>
      <c r="P300">
        <f>+P301+P307+P323+P328+P331+P334+P317</f>
        <v>490547584.6666667</v>
      </c>
      <c r="Q300">
        <f>+Q301+Q307+Q317+Q323+Q328+Q331+Q334</f>
        <v>1930446997.3333335</v>
      </c>
      <c r="R300">
        <f>+R301+R307+R317+R323+R328+R331+R334</f>
        <v>1089645918</v>
      </c>
      <c r="S300">
        <f>+S301+S307+S317+S323+S328+S331+S334</f>
        <v>135601000</v>
      </c>
    </row>
    <row r="301">
      <c r="A301" t="str">
        <v>05.1</v>
      </c>
      <c r="B301" t="str">
        <v xml:space="preserve"> Tiền Ứng</v>
      </c>
      <c r="L301">
        <f>+SUM(L302:L306)</f>
        <v>120000000</v>
      </c>
      <c r="M301">
        <f>+SUM(M302:M306)</f>
        <v>100000000</v>
      </c>
      <c r="N301">
        <f>+SUM(N302:N306)</f>
        <v>105000000</v>
      </c>
      <c r="O301">
        <f>+SUM(O302:O306)</f>
        <v>135000000</v>
      </c>
      <c r="P301">
        <f>+SUM(P302:P306)</f>
        <v>90000000</v>
      </c>
      <c r="Q301">
        <f>+SUM(Q302:Q306)</f>
        <v>120000000</v>
      </c>
      <c r="R301">
        <f>+SUM(R302:R306)</f>
        <v>133670125</v>
      </c>
      <c r="S301">
        <f>+SUM(S302:S306)</f>
        <v>30000000</v>
      </c>
    </row>
    <row r="302">
      <c r="B302" t="str">
        <v>Lần 1</v>
      </c>
      <c r="L302">
        <v>30000000</v>
      </c>
      <c r="M302">
        <v>40000000</v>
      </c>
      <c r="N302">
        <v>30000000</v>
      </c>
      <c r="O302">
        <v>25000000</v>
      </c>
      <c r="P302">
        <v>30000000</v>
      </c>
      <c r="Q302">
        <v>30000000</v>
      </c>
      <c r="R302">
        <v>30000000</v>
      </c>
      <c r="S302">
        <v>30000000</v>
      </c>
      <c r="V302" t="str">
        <v>VT</v>
      </c>
      <c r="W302" t="str">
        <v>CN</v>
      </c>
      <c r="X302" t="str">
        <v>AB</v>
      </c>
      <c r="Y302" t="str">
        <v>AB</v>
      </c>
      <c r="Z302" t="str">
        <v>CN</v>
      </c>
      <c r="AA302" t="str">
        <v>AB</v>
      </c>
      <c r="AB302" t="str">
        <v>AB</v>
      </c>
      <c r="AC302">
        <v>30</v>
      </c>
    </row>
    <row r="303">
      <c r="B303" t="str">
        <v>Lần 2</v>
      </c>
      <c r="L303">
        <v>20000000</v>
      </c>
      <c r="M303">
        <v>30000000</v>
      </c>
      <c r="N303">
        <v>20000000</v>
      </c>
      <c r="O303">
        <v>20000000</v>
      </c>
      <c r="P303">
        <v>20000000</v>
      </c>
      <c r="Q303">
        <v>20000000</v>
      </c>
      <c r="R303">
        <v>30000000</v>
      </c>
      <c r="V303" t="str">
        <v>VT</v>
      </c>
      <c r="W303" t="str">
        <v>VT</v>
      </c>
      <c r="X303" t="str">
        <v>CN</v>
      </c>
      <c r="Y303" t="str">
        <v>CN</v>
      </c>
      <c r="Z303" t="str">
        <v>AB</v>
      </c>
      <c r="AA303" t="str">
        <v>AB</v>
      </c>
      <c r="AC303">
        <v>30</v>
      </c>
    </row>
    <row r="304">
      <c r="B304" t="str">
        <v>Lần 3</v>
      </c>
      <c r="L304">
        <v>20000000</v>
      </c>
      <c r="M304">
        <v>30000000</v>
      </c>
      <c r="N304">
        <v>30000000</v>
      </c>
      <c r="O304">
        <v>30000000</v>
      </c>
      <c r="P304">
        <v>30000000</v>
      </c>
      <c r="Q304">
        <v>30000000</v>
      </c>
      <c r="R304">
        <v>30000000</v>
      </c>
      <c r="V304" t="str">
        <v>CN</v>
      </c>
      <c r="W304" t="str">
        <v>CN</v>
      </c>
      <c r="X304" t="str">
        <v>CN</v>
      </c>
      <c r="Y304" t="str">
        <v>AB</v>
      </c>
      <c r="Z304" t="str">
        <v>VT</v>
      </c>
      <c r="AA304" t="str">
        <v>AB</v>
      </c>
      <c r="AC304">
        <v>30</v>
      </c>
    </row>
    <row r="305">
      <c r="B305" t="str">
        <v>Lần 4</v>
      </c>
      <c r="L305">
        <v>20000000</v>
      </c>
      <c r="N305">
        <v>25000000</v>
      </c>
      <c r="O305">
        <v>30000000</v>
      </c>
      <c r="P305">
        <v>10000000</v>
      </c>
      <c r="Q305">
        <v>20000000</v>
      </c>
      <c r="R305">
        <v>43670125</v>
      </c>
      <c r="U305" t="str">
        <v>CN</v>
      </c>
      <c r="W305" t="str">
        <v>CN</v>
      </c>
      <c r="X305" t="str">
        <v>CN</v>
      </c>
      <c r="Y305" t="str">
        <v>AB</v>
      </c>
      <c r="Z305" t="str">
        <v>CN</v>
      </c>
      <c r="AA305" t="str">
        <v>VT</v>
      </c>
    </row>
    <row r="306">
      <c r="B306" t="str">
        <v>Lần 5</v>
      </c>
      <c r="L306">
        <v>30000000</v>
      </c>
      <c r="O306">
        <v>30000000</v>
      </c>
      <c r="Q306">
        <v>20000000</v>
      </c>
      <c r="U306" t="str">
        <v>CN</v>
      </c>
      <c r="X306" t="str">
        <v>CN</v>
      </c>
      <c r="Z306" t="str">
        <v>CN</v>
      </c>
    </row>
    <row r="307">
      <c r="A307" t="str">
        <v>05.2</v>
      </c>
      <c r="B307" t="str">
        <v>Chi phí Cảng</v>
      </c>
      <c r="L307">
        <f>+SUM(L308:L316)</f>
        <v>25543610</v>
      </c>
      <c r="M307">
        <f>+SUM(M308:M316)</f>
        <v>83051052</v>
      </c>
      <c r="N307">
        <f>+SUM(N308:N316)</f>
        <v>39617885</v>
      </c>
      <c r="O307">
        <f>+SUM(O308:O316)</f>
        <v>18424880</v>
      </c>
      <c r="P307">
        <f>+SUM(P308:P316)</f>
        <v>71040610</v>
      </c>
      <c r="Q307">
        <f>+SUM(Q308:Q316)</f>
        <v>25134056</v>
      </c>
      <c r="R307">
        <f>+SUM(R308:R316)</f>
        <v>89908293</v>
      </c>
      <c r="S307">
        <f>+SUM(S308:S316)</f>
        <v>29051000</v>
      </c>
    </row>
    <row r="308">
      <c r="B308" t="str">
        <v>Nghĩa đại lý</v>
      </c>
      <c r="L308">
        <v>14433105</v>
      </c>
      <c r="M308">
        <v>9891850</v>
      </c>
      <c r="N308">
        <v>11125502</v>
      </c>
      <c r="P308">
        <v>2600000</v>
      </c>
      <c r="V308" t="str">
        <v>AB</v>
      </c>
      <c r="W308" t="str">
        <v>AB</v>
      </c>
      <c r="Y308" t="str">
        <v>CN</v>
      </c>
    </row>
    <row r="309">
      <c r="B309" t="str">
        <v>Cảng Xếp</v>
      </c>
      <c r="L309">
        <v>9581330</v>
      </c>
      <c r="N309">
        <v>9621210</v>
      </c>
      <c r="P309">
        <v>41658617</v>
      </c>
      <c r="R309">
        <v>9860490</v>
      </c>
      <c r="W309" t="str">
        <v>AB</v>
      </c>
      <c r="Y309" t="str">
        <v>AB</v>
      </c>
      <c r="AA309" t="str">
        <v>AB</v>
      </c>
    </row>
    <row r="310">
      <c r="B310" t="str">
        <v>Cảng Dỡ</v>
      </c>
      <c r="L310">
        <v>1029175</v>
      </c>
      <c r="M310">
        <v>16243200</v>
      </c>
      <c r="O310">
        <v>8893400</v>
      </c>
      <c r="P310">
        <v>9820610</v>
      </c>
      <c r="Q310">
        <v>9451720</v>
      </c>
      <c r="R310">
        <v>8845900</v>
      </c>
      <c r="S310">
        <f>8331000+5400000</f>
        <v>13731000</v>
      </c>
      <c r="U310" t="str">
        <v>AB</v>
      </c>
      <c r="V310" t="str">
        <v>AB</v>
      </c>
      <c r="W310" t="str">
        <v>AB</v>
      </c>
      <c r="X310" t="str">
        <v>AB</v>
      </c>
      <c r="Y310" t="str">
        <v>VT</v>
      </c>
      <c r="Z310" t="str">
        <v>AB</v>
      </c>
      <c r="AA310" t="str">
        <v>AB</v>
      </c>
      <c r="AB310" t="str">
        <v>AB</v>
      </c>
    </row>
    <row r="311">
      <c r="B311" t="str">
        <v>Cảng Xếp</v>
      </c>
      <c r="M311">
        <v>12391697</v>
      </c>
      <c r="O311">
        <v>9531480</v>
      </c>
      <c r="P311">
        <v>9155745</v>
      </c>
      <c r="Q311">
        <v>11682336</v>
      </c>
      <c r="R311">
        <v>7331240</v>
      </c>
      <c r="S311">
        <v>7000000</v>
      </c>
      <c r="V311" t="str">
        <v>AB</v>
      </c>
      <c r="W311" t="str">
        <v>VT</v>
      </c>
      <c r="X311" t="str">
        <v>AB</v>
      </c>
      <c r="Y311" t="str">
        <v>VT</v>
      </c>
      <c r="Z311" t="str">
        <v>AB</v>
      </c>
      <c r="AA311" t="str">
        <v>AB</v>
      </c>
      <c r="AB311" t="str">
        <v>AB</v>
      </c>
    </row>
    <row r="312">
      <c r="B312" t="str">
        <v>Cảng Dỡ</v>
      </c>
      <c r="N312">
        <v>9559033</v>
      </c>
      <c r="S312">
        <v>4000000</v>
      </c>
      <c r="W312" t="str">
        <v>AB</v>
      </c>
      <c r="AB312" t="str">
        <v>CN</v>
      </c>
      <c r="AI312" t="str">
        <v xml:space="preserve">Thu </v>
      </c>
      <c r="AJ312" t="str">
        <v>Chi</v>
      </c>
    </row>
    <row r="313">
      <c r="B313" t="str">
        <v>Cảng Xếp</v>
      </c>
      <c r="N313">
        <v>9312140</v>
      </c>
      <c r="Q313">
        <v>4000000</v>
      </c>
      <c r="R313">
        <v>41024305</v>
      </c>
      <c r="S313">
        <v>4320000</v>
      </c>
      <c r="W313" t="str">
        <v>AB</v>
      </c>
      <c r="Z313" t="str">
        <v>CN</v>
      </c>
      <c r="AA313" t="str">
        <v>AB</v>
      </c>
      <c r="AB313" t="str">
        <v>AB</v>
      </c>
      <c r="AJ313">
        <v>350</v>
      </c>
    </row>
    <row r="314">
      <c r="B314" t="str">
        <v>Cảng Dỡ</v>
      </c>
      <c r="L314">
        <v>500000</v>
      </c>
      <c r="M314">
        <v>3500000</v>
      </c>
      <c r="R314">
        <v>10292000</v>
      </c>
      <c r="U314" t="str">
        <v>CN</v>
      </c>
      <c r="V314" t="str">
        <v>CN</v>
      </c>
      <c r="AA314" t="str">
        <v>AB</v>
      </c>
      <c r="AI314">
        <v>300</v>
      </c>
      <c r="AJ314">
        <v>30</v>
      </c>
    </row>
    <row r="315">
      <c r="B315" t="str">
        <v>Cảng Xếp</v>
      </c>
      <c r="R315">
        <v>6999850</v>
      </c>
      <c r="AA315" t="str">
        <v>AB</v>
      </c>
      <c r="AI315">
        <v>387.724</v>
      </c>
      <c r="AJ315">
        <v>21.112</v>
      </c>
    </row>
    <row r="316">
      <c r="B316" t="str">
        <v>Cầu bến</v>
      </c>
      <c r="M316">
        <v>41024305</v>
      </c>
      <c r="P316">
        <v>7805638</v>
      </c>
      <c r="R316">
        <v>5554508</v>
      </c>
      <c r="U316" t="str">
        <v>CN</v>
      </c>
      <c r="V316" t="str">
        <v>AB</v>
      </c>
      <c r="Y316" t="str">
        <v>AB</v>
      </c>
      <c r="AA316" t="str">
        <v>AB</v>
      </c>
      <c r="AJ316">
        <v>7.776</v>
      </c>
    </row>
    <row r="317">
      <c r="A317" t="str">
        <v>05.3</v>
      </c>
      <c r="B317" t="str">
        <v>Lương</v>
      </c>
      <c r="L317">
        <f>+SUM(L318:L322)</f>
        <v>394413000</v>
      </c>
      <c r="M317">
        <f>+SUM(M318:M322)</f>
        <v>22875000</v>
      </c>
      <c r="N317">
        <f>+SUM(N318:N322)</f>
        <v>47000000</v>
      </c>
      <c r="O317">
        <f>+SUM(O318:O322)</f>
        <v>490330000</v>
      </c>
      <c r="P317">
        <f>+SUM(P318:P322)</f>
        <v>272277834.6666667</v>
      </c>
      <c r="Q317">
        <f>+SUM(Q318:Q322)</f>
        <v>190627833.33333334</v>
      </c>
      <c r="R317">
        <f>+SUM(R318:R322)</f>
        <v>195829500</v>
      </c>
      <c r="S317">
        <f>+SUM(S318:S322)</f>
        <v>0</v>
      </c>
      <c r="AJ317">
        <f>838.962-138.962</f>
        <v>700</v>
      </c>
    </row>
    <row r="318">
      <c r="B318" t="str">
        <v>Quý</v>
      </c>
      <c r="L318">
        <v>394413000</v>
      </c>
      <c r="O318">
        <v>490330000</v>
      </c>
      <c r="U318" t="str">
        <v>TM</v>
      </c>
      <c r="X318" t="str">
        <v>TM</v>
      </c>
      <c r="AI318">
        <f>200+267.913</f>
        <v>467.913</v>
      </c>
    </row>
    <row r="319">
      <c r="B319" t="str">
        <v>Tháng</v>
      </c>
      <c r="M319">
        <v>22875000</v>
      </c>
      <c r="N319">
        <v>47000000</v>
      </c>
      <c r="P319">
        <v>223811168</v>
      </c>
      <c r="Q319">
        <v>189327833.33333334</v>
      </c>
      <c r="R319">
        <v>195829500</v>
      </c>
      <c r="V319" t="str">
        <v>CN</v>
      </c>
      <c r="W319" t="str">
        <v>CN</v>
      </c>
      <c r="Y319" t="str">
        <v>VT</v>
      </c>
      <c r="Z319" t="str">
        <v>VT</v>
      </c>
      <c r="AA319" t="str">
        <v>VT</v>
      </c>
      <c r="AJ319">
        <v>40</v>
      </c>
    </row>
    <row r="320">
      <c r="B320" t="str">
        <v>Ứng thuỷ thủ</v>
      </c>
      <c r="AJ320">
        <v>48.961</v>
      </c>
    </row>
    <row r="321">
      <c r="B321" t="str">
        <v>Bồi dưỡng</v>
      </c>
      <c r="P321">
        <v>800000</v>
      </c>
      <c r="Q321">
        <v>1300000</v>
      </c>
      <c r="Y321" t="str">
        <v>CN</v>
      </c>
      <c r="Z321" t="str">
        <v>CN</v>
      </c>
      <c r="AJ321">
        <v>43.325</v>
      </c>
    </row>
    <row r="322">
      <c r="B322" t="str">
        <v>Đi lại</v>
      </c>
      <c r="P322">
        <f>12000000+26000000/3+2000000+25000000</f>
        <v>47666666.666666664</v>
      </c>
      <c r="Y322" t="str">
        <v>TM</v>
      </c>
      <c r="AJ322">
        <v>42.134</v>
      </c>
    </row>
    <row r="323">
      <c r="A323" t="str">
        <v>05.4</v>
      </c>
      <c r="B323" t="str">
        <v>Tiền dầu</v>
      </c>
      <c r="L323">
        <f>+SUM(L324:L327)</f>
        <v>703913600</v>
      </c>
      <c r="M323">
        <f>+SUM(M324:M327)</f>
        <v>415385250</v>
      </c>
      <c r="N323">
        <f>+SUM(N324:N327)</f>
        <v>349900800</v>
      </c>
      <c r="O323">
        <f>+SUM(O324:O327)</f>
        <v>359364952</v>
      </c>
      <c r="P323">
        <f>+SUM(P324:P327)</f>
        <v>0</v>
      </c>
      <c r="Q323">
        <f>+SUM(Q324:Q327)</f>
        <v>1525692100</v>
      </c>
      <c r="R323">
        <f>+SUM(R324:R327)</f>
        <v>644368000</v>
      </c>
      <c r="S323">
        <f>+SUM(S324:S327)</f>
        <v>59000000</v>
      </c>
      <c r="AJ323">
        <v>42.652</v>
      </c>
    </row>
    <row r="324">
      <c r="B324" t="str">
        <v>Dầu DO</v>
      </c>
      <c r="L324">
        <v>633113600</v>
      </c>
      <c r="M324">
        <f>21805*19050</f>
        <v>415385250</v>
      </c>
      <c r="N324">
        <v>315400800</v>
      </c>
      <c r="O324">
        <v>310564952</v>
      </c>
      <c r="Q324">
        <v>439234500</v>
      </c>
      <c r="R324">
        <f>344368000+300000000</f>
        <v>644368000</v>
      </c>
      <c r="V324" t="str">
        <v>AB</v>
      </c>
      <c r="W324" t="str">
        <v>AB</v>
      </c>
      <c r="X324" t="str">
        <v>AB</v>
      </c>
      <c r="Z324" t="str">
        <v>VT</v>
      </c>
      <c r="AA324" t="str">
        <v>AB</v>
      </c>
      <c r="AJ324">
        <v>9.86</v>
      </c>
    </row>
    <row r="325">
      <c r="B325" t="str">
        <v>Dầu DO</v>
      </c>
      <c r="Q325">
        <v>1070442600</v>
      </c>
      <c r="Z325" t="str">
        <v>AB</v>
      </c>
      <c r="AJ325">
        <v>21.699</v>
      </c>
    </row>
    <row r="326">
      <c r="B326" t="str">
        <v>Dầu LO</v>
      </c>
      <c r="S326">
        <v>59000000</v>
      </c>
      <c r="AB326" t="str">
        <v>AB</v>
      </c>
      <c r="AJ326">
        <v>7.331</v>
      </c>
    </row>
    <row r="327">
      <c r="B327" t="str">
        <v>Phí vận chuyển</v>
      </c>
      <c r="L327">
        <v>70800000</v>
      </c>
      <c r="N327">
        <v>34500000</v>
      </c>
      <c r="O327">
        <v>48800000</v>
      </c>
      <c r="Q327">
        <v>16015000</v>
      </c>
      <c r="W327" t="str">
        <v>AB</v>
      </c>
      <c r="X327" t="str">
        <v>AB</v>
      </c>
      <c r="Z327" t="str">
        <v>CN</v>
      </c>
      <c r="AC327">
        <v>48800000</v>
      </c>
      <c r="AJ327">
        <v>8.845</v>
      </c>
    </row>
    <row r="328">
      <c r="A328" t="str">
        <v>05.5</v>
      </c>
      <c r="B328" t="str">
        <v>Tiền VAT</v>
      </c>
      <c r="Q328">
        <f>+SUM(Q329:Q330)</f>
        <v>12918848</v>
      </c>
      <c r="R328">
        <f>+SUM(R329:R330)</f>
        <v>0</v>
      </c>
      <c r="S328">
        <f>+SUM(S329:S330)</f>
        <v>0</v>
      </c>
      <c r="AJ328">
        <v>28.954</v>
      </c>
    </row>
    <row r="329">
      <c r="B329" t="str">
        <v>Thuế TNDN</v>
      </c>
      <c r="Q329">
        <v>12918848</v>
      </c>
      <c r="Z329" t="str">
        <v>AB</v>
      </c>
      <c r="AC329">
        <f>64594242/5</f>
        <v>12918848.4</v>
      </c>
      <c r="AI329">
        <v>1390.134</v>
      </c>
      <c r="AJ329">
        <f>+AI329</f>
        <v>1390.134</v>
      </c>
    </row>
    <row r="330">
      <c r="AJ330">
        <v>7.845</v>
      </c>
    </row>
    <row r="331">
      <c r="A331" t="str">
        <v>05.6</v>
      </c>
      <c r="B331" t="str">
        <v>Bảo Hiểm</v>
      </c>
      <c r="M331">
        <v>60417500</v>
      </c>
      <c r="P331">
        <v>15712000</v>
      </c>
      <c r="Q331">
        <f>+SUM(Q332:Q333)</f>
        <v>21213000</v>
      </c>
      <c r="R331">
        <f>+SUM(R332:R333)</f>
        <v>21664000</v>
      </c>
      <c r="S331">
        <f>+SUM(S332:S333)</f>
        <v>0</v>
      </c>
      <c r="V331" t="str">
        <v>AB</v>
      </c>
      <c r="Y331" t="str">
        <v>VT</v>
      </c>
      <c r="AC331">
        <f>106065000/5</f>
        <v>21213000</v>
      </c>
      <c r="AI331">
        <v>500</v>
      </c>
      <c r="AJ331">
        <v>9.978</v>
      </c>
    </row>
    <row r="332">
      <c r="B332" t="str">
        <v>BH Tàu</v>
      </c>
      <c r="AJ332">
        <v>5.826</v>
      </c>
    </row>
    <row r="333">
      <c r="B333" t="str">
        <v>BHXH</v>
      </c>
      <c r="Q333">
        <v>21213000</v>
      </c>
      <c r="R333">
        <v>21664000</v>
      </c>
      <c r="Z333" t="str">
        <v>AB</v>
      </c>
      <c r="AA333" t="str">
        <v>AB</v>
      </c>
      <c r="AJ333">
        <v>70</v>
      </c>
    </row>
    <row r="334">
      <c r="A334" t="str">
        <v>05.7</v>
      </c>
      <c r="B334" t="str">
        <v>Vật tư công ty cấp</v>
      </c>
      <c r="L334">
        <f>+SUM(L335:L340)</f>
        <v>35901232</v>
      </c>
      <c r="M334">
        <f>+SUM(M335:M340)</f>
        <v>0</v>
      </c>
      <c r="N334">
        <f>+SUM(N335:N340)</f>
        <v>58192806</v>
      </c>
      <c r="O334">
        <f>+SUM(O335:O340)</f>
        <v>14888000</v>
      </c>
      <c r="P334">
        <f>+SUM(P335:P340)</f>
        <v>41517140</v>
      </c>
      <c r="Q334">
        <f>+SUM(Q335:Q340)</f>
        <v>34861160</v>
      </c>
      <c r="R334">
        <f>+SUM(R335:R340)</f>
        <v>4206000</v>
      </c>
      <c r="S334">
        <f>+SUM(S335:S340)</f>
        <v>17550000</v>
      </c>
    </row>
    <row r="335">
      <c r="B335" t="str">
        <v>Vật tư AB</v>
      </c>
      <c r="L335">
        <v>21600000</v>
      </c>
      <c r="O335">
        <f>13500000+1388000</f>
        <v>14888000</v>
      </c>
      <c r="P335">
        <v>5700000</v>
      </c>
      <c r="Q335">
        <f>25055200+546000</f>
        <v>25601200</v>
      </c>
      <c r="R335">
        <v>4206000</v>
      </c>
      <c r="U335" t="str">
        <v>AB</v>
      </c>
      <c r="X335" t="str">
        <v>AB</v>
      </c>
      <c r="Y335" t="str">
        <v>TM</v>
      </c>
      <c r="Z335" t="str">
        <v>AB</v>
      </c>
      <c r="AA335" t="str">
        <v>AB</v>
      </c>
      <c r="AC335">
        <v>12366</v>
      </c>
      <c r="AJ335">
        <v>22.653</v>
      </c>
    </row>
    <row r="336">
      <c r="B336" t="str">
        <v>Sửa chữa</v>
      </c>
      <c r="L336">
        <v>14301232</v>
      </c>
      <c r="S336">
        <v>17550000</v>
      </c>
      <c r="U336" t="str">
        <v>AB</v>
      </c>
      <c r="AB336" t="str">
        <v>AB</v>
      </c>
      <c r="AC336">
        <v>25055</v>
      </c>
      <c r="AJ336">
        <v>4.32</v>
      </c>
    </row>
    <row r="337">
      <c r="B337" t="str">
        <v>Thẩm định</v>
      </c>
      <c r="N337">
        <v>21600000</v>
      </c>
      <c r="W337" t="str">
        <v>AB</v>
      </c>
      <c r="AC337">
        <v>5066</v>
      </c>
      <c r="AJ337">
        <v>10</v>
      </c>
    </row>
    <row r="338">
      <c r="B338" t="str">
        <v>Vật tư CN</v>
      </c>
      <c r="N338">
        <v>6062000</v>
      </c>
      <c r="P338">
        <v>1440000</v>
      </c>
      <c r="Q338">
        <f>2750000+1000000+3445000</f>
        <v>7195000</v>
      </c>
      <c r="W338" t="str">
        <v>VT</v>
      </c>
      <c r="Y338" t="str">
        <v>CN</v>
      </c>
      <c r="Z338" t="str">
        <v>CN</v>
      </c>
      <c r="AC338">
        <f>+AC335+AC336+AC337</f>
        <v>42487</v>
      </c>
      <c r="AJ338">
        <v>1013.512</v>
      </c>
    </row>
    <row r="339">
      <c r="B339" t="str">
        <v>Vật tư VT</v>
      </c>
      <c r="N339">
        <v>25528306</v>
      </c>
      <c r="P339">
        <f>30284000+4093140</f>
        <v>34377140</v>
      </c>
      <c r="Q339">
        <f>2064960</f>
        <v>2064960</v>
      </c>
      <c r="W339" t="str">
        <v>AB</v>
      </c>
      <c r="Y339" t="str">
        <v>VT</v>
      </c>
      <c r="Z339" t="str">
        <v>VT</v>
      </c>
      <c r="AI339">
        <v>980</v>
      </c>
      <c r="AJ339">
        <v>64.694</v>
      </c>
    </row>
    <row r="340">
      <c r="N340">
        <v>5002500</v>
      </c>
      <c r="W340" t="str">
        <v>CN</v>
      </c>
      <c r="AC340">
        <f>10005000/2</f>
        <v>5002500</v>
      </c>
      <c r="AJ340">
        <v>54</v>
      </c>
    </row>
    <row r="341">
      <c r="A341" t="str">
        <v>09</v>
      </c>
      <c r="B341" t="str">
        <v>Vũ Gia 09</v>
      </c>
      <c r="L341">
        <f>+L342+L349+L366+L372+L375+L378+L360</f>
        <v>630902824</v>
      </c>
      <c r="M341">
        <f>+M342+M349+M366+M372+M375+M378+M360</f>
        <v>954705569</v>
      </c>
      <c r="N341">
        <f>+N342+N349+N366+N372+N375+N378+N360</f>
        <v>933683776</v>
      </c>
      <c r="O341">
        <f>+O342+O349+O366+O372+O375+O378+O360</f>
        <v>1378736548</v>
      </c>
      <c r="P341">
        <f>+P342+P349+P366+P372+P375+P378+P360</f>
        <v>1258421911.6666667</v>
      </c>
      <c r="Q341">
        <f>+Q342+Q349+Q360+Q366+Q372+Q375+Q378</f>
        <v>1538963535.6666665</v>
      </c>
      <c r="R341">
        <f>+R342+R349+R360+R366+R372+R375+R378</f>
        <v>1728642860</v>
      </c>
      <c r="S341">
        <f>+S342+S349+S360+S366+S372+S375+S378</f>
        <v>181582304</v>
      </c>
      <c r="AC341">
        <f>+Q342+Q349+Q360+Q366+Q372+Q375+Q378</f>
        <v>1538963535.6666665</v>
      </c>
      <c r="AJ341">
        <v>5.263</v>
      </c>
    </row>
    <row r="342">
      <c r="A342" t="str">
        <v>09.1</v>
      </c>
      <c r="B342" t="str">
        <v xml:space="preserve"> Tiền Ứng</v>
      </c>
      <c r="L342">
        <f>+SUM(L343:L348)</f>
        <v>100000000</v>
      </c>
      <c r="M342">
        <f>+SUM(M343:M348)</f>
        <v>110000000</v>
      </c>
      <c r="N342">
        <f>+SUM(N343:N348)</f>
        <v>110000000</v>
      </c>
      <c r="O342">
        <f>+SUM(O343:O348)</f>
        <v>95000000</v>
      </c>
      <c r="P342">
        <f>+SUM(P343:P348)</f>
        <v>80000000</v>
      </c>
      <c r="Q342">
        <f>+SUM(Q343:Q348)</f>
        <v>110000000</v>
      </c>
      <c r="R342">
        <f>+SUM(R343:R348)</f>
        <v>162891791.66666666</v>
      </c>
      <c r="S342">
        <f>+SUM(S343:S348)</f>
        <v>0</v>
      </c>
      <c r="AJ342">
        <v>41.024</v>
      </c>
    </row>
    <row r="343">
      <c r="B343" t="str">
        <v>Lần 1</v>
      </c>
      <c r="L343">
        <v>40000000</v>
      </c>
      <c r="M343">
        <v>40000000</v>
      </c>
      <c r="N343">
        <v>20000000</v>
      </c>
      <c r="O343">
        <v>15000000</v>
      </c>
      <c r="P343">
        <v>30000000</v>
      </c>
      <c r="Q343">
        <v>20000000</v>
      </c>
      <c r="R343">
        <v>40000000</v>
      </c>
      <c r="V343" t="str">
        <v>AB</v>
      </c>
      <c r="W343" t="str">
        <v>CN</v>
      </c>
      <c r="X343" t="str">
        <v>CN</v>
      </c>
      <c r="Y343" t="str">
        <v>VT</v>
      </c>
      <c r="Z343" t="str">
        <v>CN</v>
      </c>
      <c r="AA343" t="str">
        <v>AB</v>
      </c>
      <c r="AC343">
        <v>40</v>
      </c>
      <c r="AJ343">
        <v>56.448</v>
      </c>
    </row>
    <row r="344">
      <c r="B344" t="str">
        <v>Lần 2</v>
      </c>
      <c r="L344">
        <v>30000000</v>
      </c>
      <c r="M344">
        <v>30000000</v>
      </c>
      <c r="N344">
        <v>40000000</v>
      </c>
      <c r="O344">
        <v>30000000</v>
      </c>
      <c r="P344">
        <v>20000000</v>
      </c>
      <c r="Q344">
        <v>40000000</v>
      </c>
      <c r="R344">
        <v>20000000</v>
      </c>
      <c r="V344" t="str">
        <v>CN</v>
      </c>
      <c r="W344" t="str">
        <v>CN</v>
      </c>
      <c r="X344" t="str">
        <v>AB</v>
      </c>
      <c r="Y344" t="str">
        <v>CN</v>
      </c>
      <c r="Z344" t="str">
        <v>AB</v>
      </c>
      <c r="AA344" t="str">
        <v>AB</v>
      </c>
      <c r="AJ344">
        <v>9.979</v>
      </c>
    </row>
    <row r="345">
      <c r="B345" t="str">
        <v>Lần 3</v>
      </c>
      <c r="L345">
        <v>10000000</v>
      </c>
      <c r="M345">
        <v>20000000</v>
      </c>
      <c r="N345">
        <v>20000000</v>
      </c>
      <c r="O345">
        <v>10000000</v>
      </c>
      <c r="P345">
        <v>30000000</v>
      </c>
      <c r="Q345">
        <v>20000000</v>
      </c>
      <c r="R345">
        <v>20000000</v>
      </c>
      <c r="U345" t="str">
        <v>AB</v>
      </c>
      <c r="V345" t="str">
        <v>VT</v>
      </c>
      <c r="W345" t="str">
        <v>CN</v>
      </c>
      <c r="X345" t="str">
        <v>AB</v>
      </c>
      <c r="Y345" t="str">
        <v>AB</v>
      </c>
      <c r="Z345" t="str">
        <v>CN</v>
      </c>
      <c r="AA345" t="str">
        <v>AB</v>
      </c>
      <c r="AC345">
        <v>20</v>
      </c>
      <c r="AJ345">
        <v>6.079</v>
      </c>
    </row>
    <row r="346">
      <c r="B346" t="str">
        <v>Lần 4</v>
      </c>
      <c r="L346">
        <v>20000000</v>
      </c>
      <c r="M346">
        <v>20000000</v>
      </c>
      <c r="N346">
        <v>20000000</v>
      </c>
      <c r="O346">
        <v>20000000</v>
      </c>
      <c r="Q346">
        <v>10000000</v>
      </c>
      <c r="R346">
        <v>30000000</v>
      </c>
      <c r="U346" t="str">
        <v>CN</v>
      </c>
      <c r="V346" t="str">
        <v>AB</v>
      </c>
      <c r="W346" t="str">
        <v>CN</v>
      </c>
      <c r="X346" t="str">
        <v>CN</v>
      </c>
      <c r="Z346" t="str">
        <v>VT</v>
      </c>
      <c r="AA346" t="str">
        <v>AB</v>
      </c>
      <c r="AC346">
        <v>20</v>
      </c>
      <c r="AI346">
        <v>940.943</v>
      </c>
    </row>
    <row r="347">
      <c r="B347" t="str">
        <v>Lần 5</v>
      </c>
      <c r="N347">
        <v>10000000</v>
      </c>
      <c r="O347">
        <v>20000000</v>
      </c>
      <c r="Q347">
        <v>20000000</v>
      </c>
      <c r="R347">
        <v>52891791.666666664</v>
      </c>
      <c r="W347" t="str">
        <v>CN</v>
      </c>
      <c r="X347" t="str">
        <v>CN</v>
      </c>
      <c r="Z347" t="str">
        <v>AB</v>
      </c>
      <c r="AA347" t="str">
        <v>VT</v>
      </c>
      <c r="AC347">
        <v>30</v>
      </c>
      <c r="AI347">
        <v>543.16</v>
      </c>
    </row>
    <row r="348">
      <c r="AJ348">
        <v>43.847</v>
      </c>
    </row>
    <row r="349">
      <c r="A349" t="str">
        <v>09.2</v>
      </c>
      <c r="B349" t="str">
        <v>Chi phí Cảng</v>
      </c>
      <c r="L349">
        <f>+SUM(L350:L359)</f>
        <v>20400447</v>
      </c>
      <c r="M349">
        <f>+SUM(M350:M359)</f>
        <v>152238058</v>
      </c>
      <c r="N349">
        <f>+SUM(N350:N359)</f>
        <v>136504693</v>
      </c>
      <c r="O349">
        <f>+SUM(O350:O359)</f>
        <v>111888248</v>
      </c>
      <c r="P349">
        <f>+SUM(P350:P359)</f>
        <v>144536572</v>
      </c>
      <c r="Q349">
        <f>+SUM(Q350:Q359)</f>
        <v>249502521</v>
      </c>
      <c r="R349">
        <f>+SUM(R350:R359)</f>
        <v>135337078</v>
      </c>
      <c r="S349">
        <f>+SUM(S350:S359)</f>
        <v>81642000</v>
      </c>
      <c r="AI349">
        <v>450</v>
      </c>
      <c r="AJ349">
        <v>20</v>
      </c>
    </row>
    <row r="350">
      <c r="B350" t="str">
        <v>Nghĩa đại lý</v>
      </c>
      <c r="L350">
        <v>500000</v>
      </c>
      <c r="M350">
        <v>1000000</v>
      </c>
      <c r="O350">
        <v>1000000</v>
      </c>
      <c r="P350">
        <v>2600000</v>
      </c>
      <c r="Q350">
        <v>2000000</v>
      </c>
      <c r="U350" t="str">
        <v>CN</v>
      </c>
      <c r="V350" t="str">
        <v>CN</v>
      </c>
      <c r="X350" t="str">
        <v>CN</v>
      </c>
      <c r="Y350" t="str">
        <v>CN</v>
      </c>
      <c r="Z350" t="str">
        <v>CN</v>
      </c>
      <c r="AJ350">
        <v>644.368</v>
      </c>
    </row>
    <row r="351">
      <c r="B351" t="str">
        <v>Cảng Xếp</v>
      </c>
      <c r="M351">
        <v>44517376</v>
      </c>
      <c r="P351">
        <v>44012220</v>
      </c>
      <c r="Q351">
        <v>43593515</v>
      </c>
      <c r="V351" t="str">
        <v>AB</v>
      </c>
      <c r="Y351" t="str">
        <v>AB</v>
      </c>
      <c r="Z351" t="str">
        <v>AB</v>
      </c>
      <c r="AJ351">
        <v>367.045</v>
      </c>
    </row>
    <row r="352">
      <c r="B352" t="str">
        <v>Cảng Dỡ</v>
      </c>
      <c r="O352">
        <v>35983164</v>
      </c>
      <c r="P352">
        <v>32791040</v>
      </c>
      <c r="Q352">
        <v>36923510</v>
      </c>
      <c r="R352">
        <v>21699456</v>
      </c>
      <c r="S352">
        <v>15969000</v>
      </c>
      <c r="X352" t="str">
        <v>AB</v>
      </c>
      <c r="Y352" t="str">
        <v>AB</v>
      </c>
      <c r="Z352" t="str">
        <v>AB</v>
      </c>
      <c r="AA352" t="str">
        <v>AB</v>
      </c>
      <c r="AB352" t="str">
        <v>AB</v>
      </c>
      <c r="AC352">
        <f>+R352+R309</f>
        <v>31559946</v>
      </c>
      <c r="AJ352">
        <v>8.64</v>
      </c>
    </row>
    <row r="353">
      <c r="B353" t="str">
        <v>Cảng Xếp</v>
      </c>
      <c r="N353">
        <v>43141238</v>
      </c>
      <c r="O353">
        <v>57146836</v>
      </c>
      <c r="P353">
        <v>43024312</v>
      </c>
      <c r="Q353">
        <v>56025556</v>
      </c>
      <c r="R353">
        <v>56448916</v>
      </c>
      <c r="S353">
        <v>50353000</v>
      </c>
      <c r="W353" t="str">
        <v>AB</v>
      </c>
      <c r="X353" t="str">
        <v>AB</v>
      </c>
      <c r="Y353" t="str">
        <v>AB</v>
      </c>
      <c r="Z353" t="str">
        <v>AB</v>
      </c>
      <c r="AA353" t="str">
        <v>AB</v>
      </c>
      <c r="AB353" t="str">
        <v>AB</v>
      </c>
      <c r="AC353">
        <f>794-755</f>
        <v>39</v>
      </c>
      <c r="AJ353">
        <v>5.749</v>
      </c>
    </row>
    <row r="354">
      <c r="B354" t="str">
        <v>Cảng Dỡ</v>
      </c>
      <c r="L354">
        <v>19900447</v>
      </c>
      <c r="M354">
        <v>31030870</v>
      </c>
      <c r="N354">
        <v>23529712</v>
      </c>
      <c r="Q354">
        <v>54927465</v>
      </c>
      <c r="V354" t="str">
        <v>AB</v>
      </c>
      <c r="W354" t="str">
        <v>AB</v>
      </c>
      <c r="Z354" t="str">
        <v>AB</v>
      </c>
      <c r="AJ354">
        <v>50</v>
      </c>
    </row>
    <row r="355">
      <c r="B355" t="str">
        <v>Cảng Xếp</v>
      </c>
      <c r="M355">
        <v>9979200</v>
      </c>
      <c r="N355">
        <v>5826125</v>
      </c>
      <c r="Q355">
        <v>43126475</v>
      </c>
      <c r="R355">
        <v>41383000</v>
      </c>
      <c r="S355">
        <v>11000000</v>
      </c>
      <c r="V355" t="str">
        <v>AB</v>
      </c>
      <c r="W355" t="str">
        <v>VT</v>
      </c>
      <c r="Z355" t="str">
        <v>AB</v>
      </c>
      <c r="AA355" t="str">
        <v>AB</v>
      </c>
      <c r="AB355" t="str">
        <v>CN</v>
      </c>
      <c r="AJ355">
        <v>540.639</v>
      </c>
    </row>
    <row r="356">
      <c r="B356" t="str">
        <v>Cảng Dỡ</v>
      </c>
      <c r="N356">
        <v>16848000</v>
      </c>
      <c r="W356" t="str">
        <v>AB</v>
      </c>
      <c r="AC356">
        <f>646296-602796</f>
        <v>43500</v>
      </c>
      <c r="AJ356">
        <v>0.528</v>
      </c>
    </row>
    <row r="357">
      <c r="B357" t="str">
        <v>Tàu Lai</v>
      </c>
      <c r="O357">
        <v>9979200</v>
      </c>
      <c r="P357">
        <v>16848000</v>
      </c>
      <c r="Q357">
        <v>12906000</v>
      </c>
      <c r="R357">
        <v>9979200</v>
      </c>
      <c r="X357" t="str">
        <v>AB</v>
      </c>
      <c r="Y357" t="str">
        <v>VT</v>
      </c>
      <c r="Z357" t="str">
        <v>AB</v>
      </c>
      <c r="AA357" t="str">
        <v>AB</v>
      </c>
      <c r="AJ357">
        <v>5.554</v>
      </c>
    </row>
    <row r="358">
      <c r="B358" t="str">
        <v>Hoa Tiêu</v>
      </c>
      <c r="S358">
        <v>4320000</v>
      </c>
      <c r="AB358" t="str">
        <v>AB</v>
      </c>
    </row>
    <row r="359">
      <c r="B359" t="str">
        <v>Cầu Bến</v>
      </c>
      <c r="M359">
        <v>65710612</v>
      </c>
      <c r="N359">
        <v>47159618</v>
      </c>
      <c r="O359">
        <v>7779048</v>
      </c>
      <c r="P359">
        <v>5261000</v>
      </c>
      <c r="R359">
        <v>5826506</v>
      </c>
      <c r="V359" t="str">
        <v>AB</v>
      </c>
      <c r="W359" t="str">
        <v>AB</v>
      </c>
      <c r="X359" t="str">
        <v>AB</v>
      </c>
      <c r="Y359" t="str">
        <v>VT</v>
      </c>
      <c r="AA359" t="str">
        <v>AB</v>
      </c>
      <c r="AI359">
        <v>1297.221</v>
      </c>
    </row>
    <row r="360">
      <c r="A360" t="str">
        <v>09.3</v>
      </c>
      <c r="B360" t="str">
        <v>Lương</v>
      </c>
      <c r="L360">
        <f>+SUM(L361:L365)</f>
        <v>444278000</v>
      </c>
      <c r="M360">
        <f>+SUM(M361:M365)</f>
        <v>78000000</v>
      </c>
      <c r="N360">
        <f>+SUM(N361:N365)</f>
        <v>82000000</v>
      </c>
      <c r="O360">
        <f>+SUM(O361:O365)</f>
        <v>403020000</v>
      </c>
      <c r="P360">
        <f>+SUM(P361:P365)</f>
        <v>254782699.66666666</v>
      </c>
      <c r="Q360">
        <f>+SUM(Q361:Q365)</f>
        <v>198053166.66666666</v>
      </c>
      <c r="R360">
        <f>+SUM(R361:R365)</f>
        <v>199694833.33333334</v>
      </c>
      <c r="S360">
        <f>+SUM(S361:S365)</f>
        <v>0</v>
      </c>
      <c r="AJ360">
        <v>12.078</v>
      </c>
    </row>
    <row r="361">
      <c r="B361" t="str">
        <v>Quý</v>
      </c>
      <c r="L361">
        <v>444278000</v>
      </c>
      <c r="O361">
        <v>397020000</v>
      </c>
      <c r="U361" t="str">
        <v>TM</v>
      </c>
      <c r="X361" t="str">
        <v>TM</v>
      </c>
      <c r="AJ361">
        <v>6.178</v>
      </c>
    </row>
    <row r="362">
      <c r="B362" t="str">
        <v>Tháng</v>
      </c>
      <c r="M362">
        <f>64000000+14000000</f>
        <v>78000000</v>
      </c>
      <c r="N362">
        <v>72000000</v>
      </c>
      <c r="P362">
        <v>245316033</v>
      </c>
      <c r="Q362">
        <v>198053166.66666666</v>
      </c>
      <c r="R362">
        <v>199694833.33333334</v>
      </c>
      <c r="V362" t="str">
        <v>CN</v>
      </c>
      <c r="W362" t="str">
        <v>CN</v>
      </c>
      <c r="Y362" t="str">
        <v>VT</v>
      </c>
      <c r="Z362" t="str">
        <v>VT</v>
      </c>
      <c r="AA362" t="str">
        <v>VT</v>
      </c>
      <c r="AJ362">
        <v>4.622</v>
      </c>
    </row>
    <row r="363">
      <c r="B363" t="str">
        <v>Ứng lương thuỷ thủ</v>
      </c>
      <c r="N363">
        <v>10000000</v>
      </c>
      <c r="O363">
        <f>3000000+3000000</f>
        <v>6000000</v>
      </c>
      <c r="W363" t="str">
        <v>CN</v>
      </c>
      <c r="X363" t="str">
        <v>CN</v>
      </c>
      <c r="AJ363">
        <v>32.254</v>
      </c>
    </row>
    <row r="364">
      <c r="B364" t="str">
        <v>Bồi dưỡng</v>
      </c>
      <c r="P364">
        <v>800000</v>
      </c>
      <c r="Y364" t="str">
        <v>CN</v>
      </c>
      <c r="AJ364">
        <v>10.292</v>
      </c>
    </row>
    <row r="365">
      <c r="B365" t="str">
        <v>Đi lai</v>
      </c>
      <c r="P365">
        <f>26000000/3</f>
        <v>8666666.666666666</v>
      </c>
      <c r="Y365" t="str">
        <v>TM</v>
      </c>
      <c r="AJ365">
        <v>7</v>
      </c>
    </row>
    <row r="366">
      <c r="A366" t="str">
        <v>09.4</v>
      </c>
      <c r="B366" t="str">
        <v>Tiền dầu</v>
      </c>
      <c r="L366">
        <f>+SUM(L367:L372)</f>
        <v>35400000</v>
      </c>
      <c r="M366">
        <f>+SUM(M367:M372)</f>
        <v>578282510</v>
      </c>
      <c r="N366">
        <f>+SUM(N367:N372)</f>
        <v>561300000</v>
      </c>
      <c r="O366">
        <f>+SUM(O367:O371)</f>
        <v>768828300</v>
      </c>
      <c r="P366">
        <f>+SUM(P367:P371)</f>
        <v>749111000</v>
      </c>
      <c r="Q366">
        <f>+SUM(Q367:Q371)</f>
        <v>899600000</v>
      </c>
      <c r="R366">
        <f>+SUM(R367:R371)</f>
        <v>1164574430</v>
      </c>
      <c r="S366">
        <f>+SUM(S367:S371)</f>
        <v>59500000</v>
      </c>
      <c r="AJ366">
        <v>37.347</v>
      </c>
    </row>
    <row r="367">
      <c r="B367" t="str">
        <v>Dầu DO</v>
      </c>
      <c r="M367">
        <f>15550*18400</f>
        <v>286120000</v>
      </c>
      <c r="N367">
        <v>516600000</v>
      </c>
      <c r="O367">
        <v>351800000</v>
      </c>
      <c r="P367">
        <v>393915500</v>
      </c>
      <c r="Q367">
        <v>810600000</v>
      </c>
      <c r="R367">
        <v>700000000</v>
      </c>
      <c r="V367" t="str">
        <v>AB</v>
      </c>
      <c r="W367" t="str">
        <v>VT</v>
      </c>
      <c r="X367" t="str">
        <v>VT</v>
      </c>
      <c r="Y367" t="str">
        <v>AB</v>
      </c>
      <c r="Z367" t="str">
        <v>AB</v>
      </c>
      <c r="AA367" t="str">
        <v>AB</v>
      </c>
      <c r="AJ367">
        <v>54.487</v>
      </c>
    </row>
    <row r="368">
      <c r="B368" t="str">
        <v>Phí Vận chuyển</v>
      </c>
      <c r="M368">
        <v>292162510</v>
      </c>
      <c r="O368">
        <f>2000000+8215350</f>
        <v>10215350</v>
      </c>
      <c r="Q368">
        <v>30000000</v>
      </c>
      <c r="V368" t="str">
        <v>AB</v>
      </c>
      <c r="X368" t="str">
        <v>AB</v>
      </c>
      <c r="Z368" t="str">
        <v>CN</v>
      </c>
      <c r="AC368">
        <v>367162950</v>
      </c>
      <c r="AJ368">
        <v>37.297</v>
      </c>
    </row>
    <row r="369">
      <c r="B369" t="str">
        <v>Dầu DO</v>
      </c>
      <c r="O369">
        <v>367162950</v>
      </c>
      <c r="P369">
        <v>355195500</v>
      </c>
      <c r="R369">
        <v>138962500</v>
      </c>
      <c r="X369" t="str">
        <v>AB</v>
      </c>
      <c r="Y369" t="str">
        <v>VT</v>
      </c>
      <c r="AA369" t="str">
        <v>VT</v>
      </c>
    </row>
    <row r="370">
      <c r="B370" t="str">
        <v>Dầu DO</v>
      </c>
      <c r="R370">
        <v>325611930</v>
      </c>
      <c r="AA370" t="str">
        <v>AB</v>
      </c>
      <c r="AI370">
        <v>50</v>
      </c>
      <c r="AJ370">
        <v>50</v>
      </c>
    </row>
    <row r="371">
      <c r="B371" t="str">
        <v>Dầu LO</v>
      </c>
      <c r="L371">
        <v>35400000</v>
      </c>
      <c r="N371">
        <v>44700000</v>
      </c>
      <c r="O371">
        <v>39650000</v>
      </c>
      <c r="Q371">
        <v>59000000</v>
      </c>
      <c r="S371">
        <v>59500000</v>
      </c>
      <c r="W371" t="str">
        <v>AB</v>
      </c>
      <c r="X371" t="str">
        <v>AB</v>
      </c>
      <c r="Z371" t="str">
        <v>AB</v>
      </c>
      <c r="AB371" t="str">
        <v>AB</v>
      </c>
      <c r="AC371">
        <v>39650000</v>
      </c>
      <c r="AJ371">
        <v>100</v>
      </c>
    </row>
    <row r="372">
      <c r="A372" t="str">
        <v>09.5</v>
      </c>
      <c r="B372" t="str">
        <v>Tiền VAT</v>
      </c>
      <c r="Q372">
        <f>+SUM(Q373:Q374)</f>
        <v>12918848</v>
      </c>
      <c r="R372">
        <f>+SUM(R373:R374)</f>
        <v>0</v>
      </c>
      <c r="S372">
        <f>+SUM(S373:S374)</f>
        <v>0</v>
      </c>
    </row>
    <row r="373">
      <c r="B373" t="str">
        <v>Thuế TNDN</v>
      </c>
      <c r="Q373">
        <v>12918848</v>
      </c>
      <c r="Z373" t="str">
        <v>AB</v>
      </c>
      <c r="AJ373">
        <v>139.122</v>
      </c>
    </row>
    <row r="374">
      <c r="AJ374">
        <v>60</v>
      </c>
    </row>
    <row r="375">
      <c r="A375" t="str">
        <v>09.6</v>
      </c>
      <c r="B375" t="str">
        <v>Bảo Hiểm</v>
      </c>
      <c r="M375">
        <v>36185001</v>
      </c>
      <c r="P375">
        <v>22816000</v>
      </c>
      <c r="Q375">
        <f>+SUM(Q376:Q377)</f>
        <v>56523000</v>
      </c>
      <c r="R375">
        <f>+SUM(R376:R377)</f>
        <v>21664000</v>
      </c>
      <c r="S375">
        <f>+SUM(S376:S377)</f>
        <v>0</v>
      </c>
      <c r="V375" t="str">
        <v>AB</v>
      </c>
      <c r="Y375" t="str">
        <v>VT</v>
      </c>
      <c r="AD375">
        <f>34+20+36</f>
        <v>90</v>
      </c>
      <c r="AJ375">
        <f>803.265+267.987</f>
        <v>1071.252</v>
      </c>
    </row>
    <row r="376">
      <c r="B376" t="str">
        <v>BH Tàu</v>
      </c>
      <c r="Q376">
        <v>35310000</v>
      </c>
      <c r="Z376" t="str">
        <v>AB</v>
      </c>
      <c r="AD376">
        <v>467936022</v>
      </c>
      <c r="AI376">
        <f>+SUM(AI313:AI375)</f>
        <v>7307.094999999999</v>
      </c>
      <c r="AJ376">
        <f>+SUM(AJ313:AJ375)</f>
        <v>7482.703000000001</v>
      </c>
      <c r="AK376">
        <f>+AI376-AJ376</f>
        <v>-175.608000000002</v>
      </c>
    </row>
    <row r="377">
      <c r="B377" t="str">
        <v>BHXH</v>
      </c>
      <c r="Q377">
        <v>21213000</v>
      </c>
      <c r="R377">
        <v>21664000</v>
      </c>
      <c r="Z377" t="str">
        <v>AB</v>
      </c>
      <c r="AA377" t="str">
        <v>AB</v>
      </c>
      <c r="AD377">
        <v>462875088</v>
      </c>
      <c r="AK377">
        <v>467.936</v>
      </c>
    </row>
    <row r="378">
      <c r="A378" t="str">
        <v>09.7</v>
      </c>
      <c r="B378" t="str">
        <v>Vật tư công ty cấp</v>
      </c>
      <c r="L378">
        <f>+SUM(L379:L390)</f>
        <v>30824377</v>
      </c>
      <c r="M378">
        <f>+SUM(M379:M390)</f>
        <v>0</v>
      </c>
      <c r="N378">
        <f>+SUM(N379:N390)</f>
        <v>43879083</v>
      </c>
      <c r="O378">
        <f>+SUM(O379:O390)</f>
        <v>0</v>
      </c>
      <c r="P378">
        <f>+SUM(P379:P390)</f>
        <v>7175640</v>
      </c>
      <c r="Q378">
        <f>+SUM(Q379:Q390)</f>
        <v>12366000</v>
      </c>
      <c r="R378">
        <f>+SUM(R379:R390)</f>
        <v>44480727</v>
      </c>
      <c r="S378">
        <f>+SUM(S379:S390)</f>
        <v>40440304</v>
      </c>
      <c r="AD378">
        <f>+AD376-AD377</f>
        <v>5060934</v>
      </c>
      <c r="AK378">
        <f>+AK377+AK376</f>
        <v>292.327999999998</v>
      </c>
    </row>
    <row r="379">
      <c r="B379" t="str">
        <v>Vật tư AB</v>
      </c>
      <c r="L379">
        <v>22935053</v>
      </c>
      <c r="Q379">
        <v>12366000</v>
      </c>
      <c r="R379">
        <f>21112488+14220885</f>
        <v>35333373</v>
      </c>
      <c r="S379">
        <f>13790304+8640000</f>
        <v>22430304</v>
      </c>
      <c r="U379" t="str">
        <v>AB</v>
      </c>
      <c r="Z379" t="str">
        <v>AB</v>
      </c>
      <c r="AA379" t="str">
        <v>AB</v>
      </c>
      <c r="AB379" t="str">
        <v>AB</v>
      </c>
    </row>
    <row r="380">
      <c r="B380" t="str">
        <v>Sửa chữa</v>
      </c>
      <c r="L380">
        <v>2319324</v>
      </c>
      <c r="S380">
        <v>17550000</v>
      </c>
      <c r="U380" t="str">
        <v>CN</v>
      </c>
      <c r="AB380" t="str">
        <v>AB</v>
      </c>
      <c r="AC380">
        <f>+AC368+AC420</f>
        <v>738328250</v>
      </c>
    </row>
    <row r="381">
      <c r="B381" t="str">
        <v>Thẩm định</v>
      </c>
      <c r="L381">
        <v>2050000</v>
      </c>
      <c r="U381" t="str">
        <v>CN</v>
      </c>
    </row>
    <row r="382">
      <c r="B382" t="str">
        <v>Vật tư CN</v>
      </c>
      <c r="L382">
        <v>850000</v>
      </c>
      <c r="P382">
        <v>2825000</v>
      </c>
      <c r="R382">
        <f>2211000+2630000</f>
        <v>4841000</v>
      </c>
      <c r="S382">
        <v>460000</v>
      </c>
      <c r="Y382" t="str">
        <v>CN</v>
      </c>
      <c r="AA382" t="str">
        <v>CN</v>
      </c>
      <c r="AB382" t="str">
        <v>CN</v>
      </c>
    </row>
    <row r="383">
      <c r="B383" t="str">
        <v>Vật tư VT</v>
      </c>
      <c r="L383">
        <v>1000000</v>
      </c>
      <c r="P383">
        <v>4350640</v>
      </c>
      <c r="R383">
        <v>4306354</v>
      </c>
      <c r="Y383" t="str">
        <v>VT</v>
      </c>
      <c r="AA383" t="str">
        <v>VT</v>
      </c>
      <c r="AE383">
        <f>83-65</f>
        <v>18</v>
      </c>
    </row>
    <row r="384">
      <c r="L384">
        <v>720000</v>
      </c>
    </row>
    <row r="385">
      <c r="L385">
        <v>950000</v>
      </c>
    </row>
    <row r="386">
      <c r="N386">
        <v>1831056</v>
      </c>
      <c r="W386" t="str">
        <v>AB</v>
      </c>
    </row>
    <row r="387">
      <c r="N387">
        <v>5002500</v>
      </c>
      <c r="W387" t="str">
        <v>CN</v>
      </c>
    </row>
    <row r="388">
      <c r="N388">
        <f>++(6750000+850000)*1.05</f>
        <v>7980000</v>
      </c>
      <c r="W388" t="str">
        <v>AB</v>
      </c>
      <c r="AC388">
        <f>+N389+N173</f>
        <v>87993000</v>
      </c>
    </row>
    <row r="389">
      <c r="N389">
        <v>8478000</v>
      </c>
      <c r="W389" t="str">
        <v>AB</v>
      </c>
      <c r="AC389">
        <v>10153500</v>
      </c>
    </row>
    <row r="390">
      <c r="N390">
        <v>20587527</v>
      </c>
      <c r="W390" t="str">
        <v>VT</v>
      </c>
      <c r="AC390">
        <f>+AC389-AC388</f>
        <v>-77839500</v>
      </c>
    </row>
    <row r="391">
      <c r="A391">
        <v>15</v>
      </c>
      <c r="B391" t="str">
        <v>Vũ Gia 15</v>
      </c>
      <c r="L391">
        <f>+L392+L400+L417+L423+L426+L429+L411</f>
        <v>1299807338</v>
      </c>
      <c r="M391">
        <f>+M392+M400+M417+M423+M426+M429+M411</f>
        <v>1266255228</v>
      </c>
      <c r="N391">
        <f>+N392+N400+N417+N423+N426+N429+N411</f>
        <v>914566841</v>
      </c>
      <c r="O391">
        <f>+O392+O400+O417+O423+O426+O429+O411</f>
        <v>1616200842</v>
      </c>
      <c r="P391">
        <f>+P392+P400+P417+P423+P426+P429+P411</f>
        <v>652568894</v>
      </c>
      <c r="Q391">
        <f>+Q392+Q400+Q411+Q417+Q423+Q426+Q429</f>
        <v>1822812085.3333333</v>
      </c>
      <c r="R391">
        <f>+R392+R400+R411+R417+R423+R426+R429</f>
        <v>1505967127</v>
      </c>
      <c r="S391">
        <f>+S392+S400+S411+S417+S423+S426+S429</f>
        <v>860064984</v>
      </c>
    </row>
    <row r="392">
      <c r="A392">
        <v>15.1</v>
      </c>
      <c r="B392" t="str">
        <v xml:space="preserve"> Tiền Ứng</v>
      </c>
      <c r="L392">
        <f>+SUM(L393:L399)</f>
        <v>150000000</v>
      </c>
      <c r="M392">
        <f>+SUM(M393:M399)</f>
        <v>120000000</v>
      </c>
      <c r="N392">
        <f>+SUM(N393:N399)</f>
        <v>140000000</v>
      </c>
      <c r="O392">
        <f>+SUM(O393:O399)</f>
        <v>110000000</v>
      </c>
      <c r="P392">
        <f>+SUM(P393:P399)</f>
        <v>80000000</v>
      </c>
      <c r="Q392">
        <f>+SUM(Q393:Q399)</f>
        <v>140000000</v>
      </c>
      <c r="R392">
        <f>+SUM(R393:R399)</f>
        <v>123100000</v>
      </c>
      <c r="S392">
        <f>+SUM(S393:S399)</f>
        <v>40000000</v>
      </c>
    </row>
    <row r="393">
      <c r="B393" t="str">
        <v>Lần 1</v>
      </c>
      <c r="L393">
        <v>30000000</v>
      </c>
      <c r="M393">
        <v>40000000</v>
      </c>
      <c r="N393">
        <v>40000000</v>
      </c>
      <c r="O393">
        <v>20000000</v>
      </c>
      <c r="P393">
        <v>30000000</v>
      </c>
      <c r="Q393">
        <v>30000000</v>
      </c>
      <c r="R393">
        <v>10000000</v>
      </c>
      <c r="S393">
        <v>20000000</v>
      </c>
      <c r="V393" t="str">
        <v>VT</v>
      </c>
      <c r="W393" t="str">
        <v>CN</v>
      </c>
      <c r="X393" t="str">
        <v>CN</v>
      </c>
      <c r="Y393" t="str">
        <v>AB</v>
      </c>
      <c r="Z393" t="str">
        <v>CN</v>
      </c>
      <c r="AA393" t="str">
        <v>AB</v>
      </c>
      <c r="AB393" t="str">
        <v>AB</v>
      </c>
      <c r="AC393">
        <v>10</v>
      </c>
    </row>
    <row r="394">
      <c r="B394" t="str">
        <v>Lần 2</v>
      </c>
      <c r="L394">
        <v>15000000</v>
      </c>
      <c r="M394">
        <v>40000000</v>
      </c>
      <c r="N394">
        <v>10000000</v>
      </c>
      <c r="O394">
        <v>30000000</v>
      </c>
      <c r="P394">
        <v>30000000</v>
      </c>
      <c r="Q394">
        <v>10000000</v>
      </c>
      <c r="R394">
        <v>10000000</v>
      </c>
      <c r="S394">
        <v>20000000</v>
      </c>
      <c r="V394" t="str">
        <v>CN</v>
      </c>
      <c r="W394" t="str">
        <v>CN</v>
      </c>
      <c r="X394" t="str">
        <v>CN</v>
      </c>
      <c r="Y394" t="str">
        <v>AB</v>
      </c>
      <c r="Z394" t="str">
        <v>CN</v>
      </c>
      <c r="AA394" t="str">
        <v>AB</v>
      </c>
      <c r="AB394" t="str">
        <v>AB</v>
      </c>
      <c r="AC394">
        <v>40</v>
      </c>
    </row>
    <row r="395">
      <c r="B395" t="str">
        <v>Lần 3</v>
      </c>
      <c r="L395">
        <v>30000000</v>
      </c>
      <c r="M395">
        <v>10000000</v>
      </c>
      <c r="N395">
        <v>20000000</v>
      </c>
      <c r="O395">
        <v>40000000</v>
      </c>
      <c r="P395">
        <v>20000000</v>
      </c>
      <c r="Q395">
        <v>40000000</v>
      </c>
      <c r="R395">
        <v>30000000</v>
      </c>
      <c r="V395" t="str">
        <v>CN</v>
      </c>
      <c r="W395" t="str">
        <v>CN</v>
      </c>
      <c r="X395" t="str">
        <v>AB</v>
      </c>
      <c r="Y395" t="str">
        <v>AB</v>
      </c>
      <c r="Z395" t="str">
        <v>AB</v>
      </c>
      <c r="AA395" t="str">
        <v>CN</v>
      </c>
      <c r="AC395">
        <v>20</v>
      </c>
    </row>
    <row r="396">
      <c r="B396" t="str">
        <v>Lần 4</v>
      </c>
      <c r="L396">
        <v>30000000</v>
      </c>
      <c r="M396">
        <v>30000000</v>
      </c>
      <c r="N396">
        <v>20000000</v>
      </c>
      <c r="O396">
        <v>20000000</v>
      </c>
      <c r="Q396">
        <v>40000000</v>
      </c>
      <c r="R396">
        <v>20000000</v>
      </c>
      <c r="V396" t="str">
        <v>VT</v>
      </c>
      <c r="W396" t="str">
        <v>CN</v>
      </c>
      <c r="X396" t="str">
        <v>CN</v>
      </c>
      <c r="Z396" t="str">
        <v>AB</v>
      </c>
      <c r="AA396" t="str">
        <v>AB</v>
      </c>
    </row>
    <row r="397">
      <c r="B397" t="str">
        <v>Lần 5</v>
      </c>
      <c r="L397">
        <v>15000000</v>
      </c>
      <c r="N397">
        <v>40000000</v>
      </c>
      <c r="Q397">
        <v>20000000</v>
      </c>
      <c r="R397">
        <v>20000000</v>
      </c>
      <c r="U397" t="str">
        <v>CN</v>
      </c>
      <c r="W397" t="str">
        <v>CN</v>
      </c>
      <c r="Z397" t="str">
        <v>AB</v>
      </c>
      <c r="AA397" t="str">
        <v>AB</v>
      </c>
    </row>
    <row r="398">
      <c r="B398" t="str">
        <v>Lần 6</v>
      </c>
      <c r="L398">
        <v>30000000</v>
      </c>
      <c r="N398">
        <v>10000000</v>
      </c>
      <c r="R398">
        <v>3100000</v>
      </c>
      <c r="U398" t="str">
        <v>TM</v>
      </c>
      <c r="W398" t="str">
        <v>AB</v>
      </c>
      <c r="AA398" t="str">
        <v>VT</v>
      </c>
    </row>
    <row r="399">
      <c r="B399" t="str">
        <v>Lần 7</v>
      </c>
      <c r="R399">
        <v>30000000</v>
      </c>
      <c r="AA399" t="str">
        <v>AB</v>
      </c>
    </row>
    <row r="400">
      <c r="A400">
        <v>15.2</v>
      </c>
      <c r="B400" t="str">
        <v>Chi phí Cảng</v>
      </c>
      <c r="L400">
        <f>+SUM(L401:L410)</f>
        <v>108238038</v>
      </c>
      <c r="M400">
        <f>+SUM(M401:M410)</f>
        <v>176519498</v>
      </c>
      <c r="N400">
        <f>+SUM(N401:N410)</f>
        <v>217116511</v>
      </c>
      <c r="O400">
        <f>+SUM(O401:O410)</f>
        <v>112013242</v>
      </c>
      <c r="P400">
        <f>+SUM(P401:P410)</f>
        <v>85486836</v>
      </c>
      <c r="Q400">
        <f>+SUM(Q401:Q410)</f>
        <v>218921451</v>
      </c>
      <c r="R400">
        <f>+SUM(R401:R410)</f>
        <v>144663127</v>
      </c>
      <c r="S400">
        <f>+SUM(S401:S410)</f>
        <v>104495134</v>
      </c>
    </row>
    <row r="401">
      <c r="B401" t="str">
        <v>Nghĩa đại lý</v>
      </c>
      <c r="L401">
        <v>500000</v>
      </c>
      <c r="O401">
        <f>2500000+3000000</f>
        <v>5500000</v>
      </c>
      <c r="P401">
        <v>2600000</v>
      </c>
      <c r="Q401">
        <v>3000000</v>
      </c>
      <c r="U401" t="str">
        <v>CN</v>
      </c>
      <c r="X401" t="str">
        <v>CN</v>
      </c>
      <c r="Y401" t="str">
        <v>CN</v>
      </c>
      <c r="Z401" t="str">
        <v>CN</v>
      </c>
    </row>
    <row r="402">
      <c r="B402" t="str">
        <v>Cảng Xếp</v>
      </c>
      <c r="M402">
        <v>36274648</v>
      </c>
      <c r="N402">
        <v>25799100</v>
      </c>
      <c r="P402">
        <v>44454445</v>
      </c>
      <c r="Q402">
        <v>56147548</v>
      </c>
      <c r="V402" t="str">
        <v>AB</v>
      </c>
      <c r="W402" t="str">
        <v>AB</v>
      </c>
      <c r="Y402" t="str">
        <v>AB</v>
      </c>
      <c r="Z402" t="str">
        <v>AB</v>
      </c>
    </row>
    <row r="403">
      <c r="B403" t="str">
        <v>Cảng Dỡ</v>
      </c>
      <c r="L403">
        <v>23358973</v>
      </c>
      <c r="M403">
        <v>39422114</v>
      </c>
      <c r="N403">
        <v>7860514</v>
      </c>
      <c r="O403">
        <v>35337690</v>
      </c>
      <c r="P403">
        <v>38432391</v>
      </c>
      <c r="Q403">
        <v>27619385</v>
      </c>
      <c r="R403">
        <v>37347457</v>
      </c>
      <c r="S403">
        <v>36711000</v>
      </c>
      <c r="U403" t="str">
        <v>AB</v>
      </c>
      <c r="V403" t="str">
        <v>AB</v>
      </c>
      <c r="W403" t="str">
        <v>VT</v>
      </c>
      <c r="X403" t="str">
        <v>AB</v>
      </c>
      <c r="Y403" t="str">
        <v>VT</v>
      </c>
      <c r="Z403" t="str">
        <v>AB</v>
      </c>
      <c r="AA403" t="str">
        <v>AB</v>
      </c>
      <c r="AB403" t="str">
        <v>AB</v>
      </c>
    </row>
    <row r="404">
      <c r="B404" t="str">
        <v>Cảng Xếp</v>
      </c>
      <c r="L404">
        <v>55036048</v>
      </c>
      <c r="M404">
        <v>55080508</v>
      </c>
      <c r="N404">
        <v>55891903</v>
      </c>
      <c r="O404">
        <v>55058278</v>
      </c>
      <c r="R404">
        <v>54487716</v>
      </c>
      <c r="S404">
        <v>49919000</v>
      </c>
      <c r="U404" t="str">
        <v>AB</v>
      </c>
      <c r="V404" t="str">
        <v>AB</v>
      </c>
      <c r="W404" t="str">
        <v>AB</v>
      </c>
      <c r="X404" t="str">
        <v>AB</v>
      </c>
      <c r="AA404" t="str">
        <v>AB</v>
      </c>
      <c r="AB404" t="str">
        <v>AB</v>
      </c>
    </row>
    <row r="405">
      <c r="B405" t="str">
        <v>Cảng Dỡ</v>
      </c>
      <c r="N405">
        <v>64519366</v>
      </c>
      <c r="Q405">
        <v>35108518</v>
      </c>
      <c r="W405" t="str">
        <v>AB</v>
      </c>
      <c r="Z405" t="str">
        <v>AB</v>
      </c>
    </row>
    <row r="406">
      <c r="B406" t="str">
        <v>Cảng Xếp</v>
      </c>
      <c r="N406">
        <v>43087228</v>
      </c>
      <c r="Q406">
        <v>54802633</v>
      </c>
      <c r="R406">
        <v>36769000</v>
      </c>
      <c r="W406" t="str">
        <v>VT</v>
      </c>
      <c r="Z406" t="str">
        <v>AB</v>
      </c>
      <c r="AA406" t="str">
        <v>AB</v>
      </c>
    </row>
    <row r="407">
      <c r="B407" t="str">
        <v>Cảng Dỡ</v>
      </c>
    </row>
    <row r="408">
      <c r="B408" t="str">
        <v>Cầu Bến</v>
      </c>
      <c r="L408">
        <v>9979200</v>
      </c>
      <c r="M408">
        <v>19958400</v>
      </c>
      <c r="N408">
        <v>9979200</v>
      </c>
      <c r="O408">
        <v>6138074</v>
      </c>
      <c r="Q408">
        <f>8739818</f>
        <v>8739818</v>
      </c>
      <c r="R408">
        <v>6079754</v>
      </c>
      <c r="S408">
        <v>7885934</v>
      </c>
      <c r="V408" t="str">
        <v>AB</v>
      </c>
      <c r="W408" t="str">
        <v>VT</v>
      </c>
      <c r="X408" t="str">
        <v>AB</v>
      </c>
      <c r="Z408" t="str">
        <v>VT</v>
      </c>
      <c r="AA408" t="str">
        <v>AB</v>
      </c>
      <c r="AB408" t="str">
        <v>AB</v>
      </c>
    </row>
    <row r="409">
      <c r="B409" t="str">
        <v>Tàu Lai</v>
      </c>
      <c r="L409">
        <v>19363817</v>
      </c>
      <c r="M409">
        <v>18499514</v>
      </c>
      <c r="N409">
        <v>9979200</v>
      </c>
      <c r="O409">
        <v>9979200</v>
      </c>
      <c r="Q409">
        <v>9979200</v>
      </c>
      <c r="R409">
        <v>9979200</v>
      </c>
      <c r="S409">
        <v>9979200</v>
      </c>
      <c r="U409" t="str">
        <v>AB</v>
      </c>
      <c r="V409" t="str">
        <v>AB</v>
      </c>
      <c r="W409" t="str">
        <v>AB</v>
      </c>
      <c r="X409" t="str">
        <v>AB</v>
      </c>
      <c r="Z409" t="str">
        <v>VT</v>
      </c>
      <c r="AA409" t="str">
        <v>AB</v>
      </c>
      <c r="AB409" t="str">
        <v>AB</v>
      </c>
    </row>
    <row r="410">
      <c r="B410" t="str">
        <v>Hàng Hải</v>
      </c>
      <c r="M410">
        <v>7284314</v>
      </c>
      <c r="Q410">
        <f>18211414+5312935</f>
        <v>23524349</v>
      </c>
      <c r="V410" t="str">
        <v>AB</v>
      </c>
      <c r="Z410" t="str">
        <v>AB</v>
      </c>
    </row>
    <row r="411">
      <c r="A411">
        <v>15.3</v>
      </c>
      <c r="B411" t="str">
        <v>Lương</v>
      </c>
      <c r="L411">
        <f>+SUM(L412:L416)</f>
        <v>356472000</v>
      </c>
      <c r="M411">
        <f>+SUM(M412:M416)</f>
        <v>116000000</v>
      </c>
      <c r="N411">
        <f>+SUM(N412:N416)</f>
        <v>116000000</v>
      </c>
      <c r="O411">
        <f>+SUM(O412:O416)</f>
        <v>347731000</v>
      </c>
      <c r="P411">
        <f>+SUM(P412:P416)</f>
        <v>322138967</v>
      </c>
      <c r="Q411">
        <f>+SUM(Q412:Q416)</f>
        <v>181596333.3333333</v>
      </c>
      <c r="R411">
        <f>+SUM(R412:R416)</f>
        <v>203028000</v>
      </c>
      <c r="S411">
        <f>+SUM(S412:S416)</f>
        <v>10000000</v>
      </c>
    </row>
    <row r="412">
      <c r="B412" t="str">
        <v>Quý</v>
      </c>
      <c r="L412">
        <v>353472000</v>
      </c>
      <c r="O412">
        <f>340571000+2160000</f>
        <v>342731000</v>
      </c>
      <c r="U412" t="str">
        <v>TM</v>
      </c>
      <c r="X412" t="str">
        <v>TM</v>
      </c>
    </row>
    <row r="413">
      <c r="B413" t="str">
        <v>Tháng</v>
      </c>
      <c r="L413">
        <v>3000000</v>
      </c>
      <c r="M413">
        <v>3000000</v>
      </c>
      <c r="P413">
        <f>252541500+2797467</f>
        <v>255338967</v>
      </c>
      <c r="Q413">
        <v>181596333.3333333</v>
      </c>
      <c r="R413">
        <v>203028000</v>
      </c>
      <c r="V413" t="str">
        <v>CN</v>
      </c>
      <c r="Y413" t="str">
        <v>VT</v>
      </c>
      <c r="Z413" t="str">
        <v>VT</v>
      </c>
      <c r="AA413" t="str">
        <v>VT</v>
      </c>
      <c r="AC413">
        <f>4000000/200000</f>
        <v>20</v>
      </c>
    </row>
    <row r="414">
      <c r="B414" t="str">
        <v>Ứng lương thuỷ thủ</v>
      </c>
      <c r="M414">
        <v>113000000</v>
      </c>
      <c r="N414">
        <v>116000000</v>
      </c>
      <c r="O414">
        <v>5000000</v>
      </c>
      <c r="P414">
        <v>20000000</v>
      </c>
      <c r="S414">
        <v>10000000</v>
      </c>
      <c r="V414" t="str">
        <v>CN</v>
      </c>
      <c r="W414" t="str">
        <v>CN</v>
      </c>
      <c r="X414" t="str">
        <v>CN</v>
      </c>
      <c r="Y414" t="str">
        <v>TM</v>
      </c>
      <c r="AB414" t="str">
        <v>CN</v>
      </c>
    </row>
    <row r="415">
      <c r="B415" t="str">
        <v>Bồi dưỡng</v>
      </c>
      <c r="P415">
        <f>45000000+800000</f>
        <v>45800000</v>
      </c>
      <c r="Y415" t="str">
        <v>CN</v>
      </c>
    </row>
    <row r="416">
      <c r="P416">
        <v>1000000</v>
      </c>
      <c r="Y416" t="str">
        <v>TM</v>
      </c>
    </row>
    <row r="417">
      <c r="A417">
        <v>15.4</v>
      </c>
      <c r="B417" t="str">
        <v>Tiền dầu</v>
      </c>
      <c r="L417">
        <f>+SUM(L418:L422)</f>
        <v>674623300</v>
      </c>
      <c r="M417">
        <f>+SUM(M418:M422)</f>
        <v>853735730</v>
      </c>
      <c r="N417">
        <f>+SUM(N418:N422)</f>
        <v>355000000</v>
      </c>
      <c r="O417">
        <f>+SUM(O418:O422)</f>
        <v>967356600</v>
      </c>
      <c r="P417">
        <f>+SUM(P418:P422)</f>
        <v>0</v>
      </c>
      <c r="Q417">
        <f>+SUM(Q418:Q422)</f>
        <v>1205666700</v>
      </c>
      <c r="R417">
        <f>+SUM(R418:R422)</f>
        <v>1013512000</v>
      </c>
      <c r="S417">
        <f>+SUM(S418:S422)</f>
        <v>705569850</v>
      </c>
    </row>
    <row r="418">
      <c r="B418" t="str">
        <v>Dầu DO</v>
      </c>
      <c r="L418">
        <v>673623300</v>
      </c>
      <c r="M418">
        <v>279391240</v>
      </c>
      <c r="N418">
        <v>355000000</v>
      </c>
      <c r="Q418">
        <v>563635700</v>
      </c>
      <c r="R418">
        <f>499000000+496392000</f>
        <v>995392000</v>
      </c>
      <c r="S418">
        <v>610369850</v>
      </c>
      <c r="V418" t="str">
        <v>AB</v>
      </c>
      <c r="W418" t="str">
        <v>VT</v>
      </c>
      <c r="Z418" t="str">
        <v>VT</v>
      </c>
      <c r="AA418" t="str">
        <v>AB</v>
      </c>
      <c r="AB418" t="str">
        <v>AB</v>
      </c>
    </row>
    <row r="419">
      <c r="B419" t="str">
        <v>Dầu DO</v>
      </c>
      <c r="M419">
        <f>4000*23000</f>
        <v>92000000</v>
      </c>
      <c r="O419">
        <v>506943800</v>
      </c>
      <c r="Q419">
        <f>536320000+105711000</f>
        <v>642031000</v>
      </c>
      <c r="V419" t="str">
        <v>CN</v>
      </c>
      <c r="X419" t="str">
        <v>AB</v>
      </c>
      <c r="Z419" t="str">
        <v>AB</v>
      </c>
    </row>
    <row r="420">
      <c r="B420" t="str">
        <v>Dầu DO</v>
      </c>
      <c r="M420">
        <v>482344490</v>
      </c>
      <c r="O420">
        <v>371165300</v>
      </c>
      <c r="V420" t="str">
        <v>AB</v>
      </c>
      <c r="X420" t="str">
        <v>AB</v>
      </c>
      <c r="AC420">
        <v>371165300</v>
      </c>
    </row>
    <row r="421">
      <c r="B421" t="str">
        <v>Phí lưu trữ dầu, vận chuyển, phí ngoài</v>
      </c>
      <c r="L421">
        <v>1000000</v>
      </c>
      <c r="O421">
        <f>11528000+6319500</f>
        <v>17847500</v>
      </c>
      <c r="R421">
        <v>18120000</v>
      </c>
      <c r="U421" t="str">
        <v>CN</v>
      </c>
      <c r="X421" t="str">
        <v>AB</v>
      </c>
      <c r="AA421" t="str">
        <v>AB</v>
      </c>
      <c r="AD421">
        <f>+AD11-900000000</f>
        <v>3148958201</v>
      </c>
    </row>
    <row r="422">
      <c r="B422" t="str">
        <v>Dầu LO</v>
      </c>
      <c r="O422">
        <v>71400000</v>
      </c>
      <c r="S422">
        <f>35700000+59500000</f>
        <v>95200000</v>
      </c>
      <c r="X422" t="str">
        <v>AB</v>
      </c>
      <c r="AB422" t="str">
        <v>AB</v>
      </c>
      <c r="AC422">
        <v>71400000</v>
      </c>
    </row>
    <row r="423">
      <c r="A423">
        <v>15.5</v>
      </c>
      <c r="B423" t="str">
        <v>Tiền VAT</v>
      </c>
      <c r="Q423">
        <f>+SUM(Q424:Q425)</f>
        <v>12918848</v>
      </c>
      <c r="R423">
        <f>+SUM(R424:R425)</f>
        <v>0</v>
      </c>
      <c r="S423">
        <f>+SUM(S424:S425)</f>
        <v>0</v>
      </c>
      <c r="AC423">
        <v>4350640</v>
      </c>
      <c r="AD423">
        <v>9</v>
      </c>
    </row>
    <row r="424">
      <c r="B424" t="str">
        <v>Thuế TNDN</v>
      </c>
      <c r="Q424">
        <v>12918848</v>
      </c>
      <c r="Z424" t="str">
        <v>AB</v>
      </c>
    </row>
    <row r="426">
      <c r="A426">
        <v>15.6</v>
      </c>
      <c r="B426" t="str">
        <v>Bảo Hiểm</v>
      </c>
      <c r="P426">
        <v>18464000</v>
      </c>
      <c r="Q426">
        <f>+SUM(Q427:Q428)</f>
        <v>21213000</v>
      </c>
      <c r="R426">
        <f>+SUM(R427:R428)</f>
        <v>21664000</v>
      </c>
      <c r="S426">
        <f>+SUM(S427:S428)</f>
        <v>0</v>
      </c>
      <c r="Y426" t="str">
        <v>VT</v>
      </c>
      <c r="AC426">
        <f>30284000+4093140</f>
        <v>34377140</v>
      </c>
      <c r="AD426">
        <v>5</v>
      </c>
    </row>
    <row r="427">
      <c r="B427" t="str">
        <v>BH Tàu</v>
      </c>
    </row>
    <row r="428">
      <c r="B428" t="str">
        <v>BHXH</v>
      </c>
      <c r="Q428">
        <v>21213000</v>
      </c>
      <c r="R428">
        <v>21664000</v>
      </c>
      <c r="Z428" t="str">
        <v>AB</v>
      </c>
      <c r="AA428" t="str">
        <v>AB</v>
      </c>
      <c r="AC428">
        <f>21664000*5</f>
        <v>108320000</v>
      </c>
    </row>
    <row r="429">
      <c r="A429">
        <v>15.7</v>
      </c>
      <c r="B429" t="str">
        <v>Vật tư công ty cấp</v>
      </c>
      <c r="L429">
        <f>+SUM(L430:L433)</f>
        <v>10474000</v>
      </c>
      <c r="M429">
        <f>+SUM(M430:M433)</f>
        <v>0</v>
      </c>
      <c r="N429">
        <f>+SUM(N430:N433)</f>
        <v>86450330</v>
      </c>
      <c r="O429">
        <f>+SUM(O430:O433)</f>
        <v>79100000</v>
      </c>
      <c r="P429">
        <f>+SUM(P430:P433)</f>
        <v>146479091</v>
      </c>
      <c r="Q429">
        <f>+SUM(Q430:Q433)</f>
        <v>42495753</v>
      </c>
      <c r="R429">
        <f>+SUM(R430:R433)</f>
        <v>0</v>
      </c>
      <c r="S429">
        <f>+SUM(S430:S433)</f>
        <v>0</v>
      </c>
      <c r="AC429">
        <v>21132025</v>
      </c>
      <c r="AD429">
        <v>15</v>
      </c>
      <c r="AE429">
        <f>730830-639530</f>
        <v>91300</v>
      </c>
    </row>
    <row r="430">
      <c r="B430" t="str">
        <v>Vật tư AB, VT</v>
      </c>
      <c r="L430">
        <v>10474000</v>
      </c>
      <c r="N430">
        <v>40440000</v>
      </c>
      <c r="O430">
        <v>7500000</v>
      </c>
      <c r="P430">
        <v>21132025</v>
      </c>
      <c r="Q430">
        <f>17550000+5066000</f>
        <v>22616000</v>
      </c>
      <c r="W430" t="str">
        <v>AB</v>
      </c>
      <c r="X430" t="str">
        <v>AB</v>
      </c>
      <c r="Y430" t="str">
        <v>VT</v>
      </c>
      <c r="Z430" t="str">
        <v>AB</v>
      </c>
      <c r="AC430">
        <f>4350640+4093140+51416025</f>
        <v>59859805</v>
      </c>
      <c r="AG430">
        <v>465811000</v>
      </c>
    </row>
    <row r="431">
      <c r="B431" t="str">
        <v>Sửa chữa</v>
      </c>
      <c r="N431">
        <v>40000000</v>
      </c>
      <c r="O431">
        <v>71600000</v>
      </c>
      <c r="P431">
        <v>112357066</v>
      </c>
      <c r="Q431">
        <v>5940000</v>
      </c>
      <c r="W431" t="str">
        <v>CN</v>
      </c>
      <c r="X431" t="str">
        <v>TM</v>
      </c>
      <c r="Y431" t="str">
        <v>VT</v>
      </c>
      <c r="Z431" t="str">
        <v>AB</v>
      </c>
      <c r="AC431">
        <f>+SUM(AC423:AC429)</f>
        <v>168179805</v>
      </c>
      <c r="AG431">
        <v>340571000</v>
      </c>
    </row>
    <row r="432">
      <c r="B432" t="str">
        <v>Thẩm định, Đăng kiểm</v>
      </c>
      <c r="N432">
        <v>6010330</v>
      </c>
      <c r="Q432">
        <v>13939753</v>
      </c>
      <c r="W432" t="str">
        <v>AB</v>
      </c>
      <c r="Z432" t="str">
        <v>VT</v>
      </c>
      <c r="AC432">
        <f>+AC430-AC431</f>
        <v>-108320000</v>
      </c>
      <c r="AG432">
        <v>397020000</v>
      </c>
    </row>
    <row r="433">
      <c r="B433" t="str">
        <v>Vật tư CN</v>
      </c>
      <c r="P433">
        <v>12990000</v>
      </c>
      <c r="Y433" t="str">
        <v>TM</v>
      </c>
      <c r="AG433">
        <v>490330000</v>
      </c>
    </row>
    <row r="434">
      <c r="A434">
        <v>18</v>
      </c>
      <c r="B434" t="str">
        <v>Vũ Gia 18</v>
      </c>
      <c r="L434">
        <f>+L435+L443+L461+L467+L470+L473+L455</f>
        <v>0</v>
      </c>
      <c r="M434">
        <f>+M435+M443+M461+M467+M470+M473+M455</f>
        <v>227129000</v>
      </c>
      <c r="N434">
        <f>+N435+N443+N461+N467+N470+N473+N455</f>
        <v>1347574012.4814816</v>
      </c>
      <c r="O434">
        <f>+O435+O443+O461+O467+O470+O473+O455</f>
        <v>1136614068</v>
      </c>
      <c r="P434">
        <f>+P435+P443+P461+P467+P470+P473+P455</f>
        <v>1659116197.6666667</v>
      </c>
      <c r="Q434">
        <f>+Q435+Q443+Q455+Q461+Q467+Q470+Q473</f>
        <v>2009089321</v>
      </c>
      <c r="R434">
        <f>+R435+R443+R455+R461+R467+R470+R473</f>
        <v>2932851866</v>
      </c>
      <c r="S434">
        <f>+S435+S443+S455+S461+S467+S470+S473</f>
        <v>1243463324</v>
      </c>
      <c r="AC434">
        <f>64594242/5</f>
        <v>12918848.4</v>
      </c>
      <c r="AG434">
        <v>298343000</v>
      </c>
    </row>
    <row r="435">
      <c r="A435">
        <v>18.1</v>
      </c>
      <c r="B435" t="str">
        <v xml:space="preserve"> Tiền Ứng</v>
      </c>
      <c r="L435">
        <f>+SUM(L436:L439)</f>
        <v>0</v>
      </c>
      <c r="M435">
        <f>+SUM(M436:M440)</f>
        <v>90000000</v>
      </c>
      <c r="N435">
        <f>+SUM(N436:N440)</f>
        <v>140000000</v>
      </c>
      <c r="O435">
        <f>+SUM(O436:O440)</f>
        <v>100000000</v>
      </c>
      <c r="P435">
        <f>+SUM(P436:P440)</f>
        <v>80000000</v>
      </c>
      <c r="Q435">
        <f>+SUM(Q436:Q440)</f>
        <v>80000000</v>
      </c>
      <c r="R435">
        <f>+SUM(R436:R442)</f>
        <v>159000000</v>
      </c>
      <c r="S435">
        <f>+SUM(S436:S442)</f>
        <v>50000000</v>
      </c>
      <c r="AG435">
        <v>71600000</v>
      </c>
    </row>
    <row r="436">
      <c r="B436" t="str">
        <v>Lần 1</v>
      </c>
      <c r="M436">
        <v>20000000</v>
      </c>
      <c r="N436">
        <v>40000000</v>
      </c>
      <c r="O436">
        <v>20000000</v>
      </c>
      <c r="P436">
        <v>30000000</v>
      </c>
      <c r="Q436">
        <v>30000000</v>
      </c>
      <c r="R436">
        <v>20000000</v>
      </c>
      <c r="S436">
        <v>20000000</v>
      </c>
      <c r="V436" t="str">
        <v>CN</v>
      </c>
      <c r="W436" t="str">
        <v>VT</v>
      </c>
      <c r="X436" t="str">
        <v>VT</v>
      </c>
      <c r="Y436" t="str">
        <v>AB</v>
      </c>
      <c r="Z436" t="str">
        <v>CN</v>
      </c>
      <c r="AA436" t="str">
        <v>AB</v>
      </c>
      <c r="AB436" t="str">
        <v>AB</v>
      </c>
      <c r="AC436">
        <v>30</v>
      </c>
      <c r="AG436">
        <v>201650000</v>
      </c>
    </row>
    <row r="437">
      <c r="B437" t="str">
        <v>Lần 2</v>
      </c>
      <c r="M437">
        <v>20000000</v>
      </c>
      <c r="N437">
        <v>20000000</v>
      </c>
      <c r="O437">
        <v>30000000</v>
      </c>
      <c r="P437">
        <v>30000000</v>
      </c>
      <c r="Q437">
        <v>20000000</v>
      </c>
      <c r="R437">
        <v>40000000</v>
      </c>
      <c r="S437">
        <v>30000000</v>
      </c>
      <c r="V437" t="str">
        <v>VT</v>
      </c>
      <c r="W437" t="str">
        <v>CN</v>
      </c>
      <c r="X437" t="str">
        <v>CN</v>
      </c>
      <c r="Y437" t="str">
        <v>VT</v>
      </c>
      <c r="Z437" t="str">
        <v>AB</v>
      </c>
      <c r="AA437" t="str">
        <v>VT</v>
      </c>
      <c r="AB437" t="str">
        <v>CN</v>
      </c>
      <c r="AC437">
        <v>20</v>
      </c>
      <c r="AG437">
        <f>+SUM(AG430:AG436)</f>
        <v>2265325000</v>
      </c>
    </row>
    <row r="438">
      <c r="B438" t="str">
        <v>Lần 3</v>
      </c>
      <c r="M438">
        <v>50000000</v>
      </c>
      <c r="N438">
        <v>20000000</v>
      </c>
      <c r="O438">
        <v>20000000</v>
      </c>
      <c r="P438">
        <v>20000000</v>
      </c>
      <c r="Q438">
        <v>30000000</v>
      </c>
      <c r="R438">
        <v>30000000</v>
      </c>
      <c r="U438" t="str">
        <v>CN</v>
      </c>
      <c r="V438" t="str">
        <v>CN</v>
      </c>
      <c r="W438" t="str">
        <v>VT</v>
      </c>
      <c r="X438" t="str">
        <v>AB</v>
      </c>
      <c r="Y438" t="str">
        <v>AB</v>
      </c>
      <c r="Z438" t="str">
        <v>VT</v>
      </c>
      <c r="AA438" t="str">
        <v>CN</v>
      </c>
      <c r="AC438">
        <v>40</v>
      </c>
    </row>
    <row r="439">
      <c r="B439" t="str">
        <v>Lần 4</v>
      </c>
      <c r="N439">
        <f>30000000</f>
        <v>30000000</v>
      </c>
      <c r="O439">
        <v>30000000</v>
      </c>
      <c r="R439">
        <v>10000000</v>
      </c>
      <c r="U439" t="str">
        <v>CN</v>
      </c>
      <c r="W439" t="str">
        <v>VT</v>
      </c>
      <c r="X439" t="str">
        <v>CN</v>
      </c>
      <c r="AA439" t="str">
        <v>CN</v>
      </c>
      <c r="AC439">
        <v>10</v>
      </c>
      <c r="AE439">
        <f>48349501-48323291</f>
        <v>26210</v>
      </c>
      <c r="AG439">
        <v>2418000000</v>
      </c>
    </row>
    <row r="440">
      <c r="B440" t="str">
        <v>Lần 5</v>
      </c>
      <c r="N440">
        <v>30000000</v>
      </c>
      <c r="R440">
        <v>30000000</v>
      </c>
      <c r="W440" t="str">
        <v>CN</v>
      </c>
      <c r="AA440" t="str">
        <v>AB</v>
      </c>
      <c r="AC440">
        <v>30</v>
      </c>
      <c r="AG440">
        <f>+AG439-AG437</f>
        <v>152675000</v>
      </c>
    </row>
    <row r="441">
      <c r="B441" t="str">
        <v>Lần 6</v>
      </c>
      <c r="R441">
        <v>20000000</v>
      </c>
      <c r="AA441" t="str">
        <v>AB</v>
      </c>
    </row>
    <row r="442">
      <c r="B442" t="str">
        <v>Lần 7</v>
      </c>
      <c r="R442">
        <v>9000000</v>
      </c>
      <c r="AA442" t="str">
        <v>VT</v>
      </c>
    </row>
    <row r="443">
      <c r="A443">
        <v>18.2</v>
      </c>
      <c r="B443" t="str">
        <v>Chi phí Cảng</v>
      </c>
      <c r="L443">
        <f>+SUM(L444:L454)</f>
        <v>0</v>
      </c>
      <c r="M443">
        <f>+SUM(M444:M454)</f>
        <v>26000000</v>
      </c>
      <c r="N443">
        <f>+SUM(N444:N454)</f>
        <v>287305532</v>
      </c>
      <c r="O443">
        <f>+SUM(O444:O454)</f>
        <v>172674172</v>
      </c>
      <c r="P443">
        <f>+SUM(P444:P454)</f>
        <v>234828891</v>
      </c>
      <c r="Q443">
        <f>+SUM(Q444:Q454)</f>
        <v>70832163</v>
      </c>
      <c r="R443">
        <f>+SUM(R444:R454)</f>
        <v>314834309</v>
      </c>
      <c r="S443">
        <f>+SUM(S444:S454)</f>
        <v>44449864</v>
      </c>
    </row>
    <row r="444">
      <c r="B444" t="str">
        <v>Nghĩa đại lý</v>
      </c>
      <c r="P444">
        <v>2600000</v>
      </c>
      <c r="Q444">
        <v>3000000</v>
      </c>
      <c r="U444" t="str">
        <v>CN</v>
      </c>
      <c r="Y444" t="str">
        <v>CN</v>
      </c>
      <c r="Z444" t="str">
        <v>CN</v>
      </c>
    </row>
    <row r="445">
      <c r="B445" t="str">
        <v>Cảng Xếp</v>
      </c>
      <c r="R445">
        <v>48961216</v>
      </c>
      <c r="U445" t="str">
        <v>AB</v>
      </c>
      <c r="Z445" t="str">
        <v>CN</v>
      </c>
      <c r="AA445" t="str">
        <v>AB</v>
      </c>
      <c r="AC445">
        <v>212732.864</v>
      </c>
    </row>
    <row r="446">
      <c r="B446" t="str">
        <v>Cảng Dỡ</v>
      </c>
      <c r="N446">
        <f>55000000-11496546</f>
        <v>43503454</v>
      </c>
      <c r="O446">
        <v>66533236</v>
      </c>
      <c r="P446">
        <v>64837024</v>
      </c>
      <c r="Q446">
        <v>46981024</v>
      </c>
      <c r="R446">
        <v>42134000</v>
      </c>
      <c r="S446">
        <v>44449864</v>
      </c>
      <c r="U446" t="str">
        <v>AB</v>
      </c>
      <c r="W446" t="str">
        <v>VT</v>
      </c>
      <c r="X446" t="str">
        <v>AB</v>
      </c>
      <c r="Y446" t="str">
        <v>AB</v>
      </c>
      <c r="Z446" t="str">
        <v>AB</v>
      </c>
      <c r="AA446" t="str">
        <v>AB</v>
      </c>
      <c r="AB446" t="str">
        <v>AB</v>
      </c>
      <c r="AC446">
        <f>8331+7000+15969+50353+36711+49919</f>
        <v>168283</v>
      </c>
      <c r="AE446">
        <f>51393-12983</f>
        <v>38410</v>
      </c>
    </row>
    <row r="447">
      <c r="B447" t="str">
        <v>Cảng Xếp</v>
      </c>
      <c r="M447">
        <v>26000000</v>
      </c>
      <c r="N447">
        <v>6480000</v>
      </c>
      <c r="O447">
        <v>51613525</v>
      </c>
      <c r="P447">
        <v>49732588</v>
      </c>
      <c r="R447">
        <v>42652569</v>
      </c>
      <c r="V447" t="str">
        <v>CN</v>
      </c>
      <c r="W447" t="str">
        <v>AB</v>
      </c>
      <c r="X447" t="str">
        <v>AB</v>
      </c>
      <c r="Y447" t="str">
        <v>AB</v>
      </c>
      <c r="AA447" t="str">
        <v>AB</v>
      </c>
      <c r="AC447">
        <f>+AC445-AC446</f>
        <v>44449.864</v>
      </c>
    </row>
    <row r="448">
      <c r="B448" t="str">
        <v>Cảng Dỡ</v>
      </c>
      <c r="N448">
        <v>41748086</v>
      </c>
      <c r="O448">
        <v>8968000</v>
      </c>
      <c r="P448">
        <f>70000000+13786824</f>
        <v>83786824</v>
      </c>
      <c r="R448">
        <v>64699340</v>
      </c>
      <c r="U448" t="str">
        <v>AB</v>
      </c>
      <c r="W448" t="str">
        <v>AB</v>
      </c>
      <c r="X448" t="str">
        <v>AB</v>
      </c>
      <c r="Y448" t="str">
        <v>AB</v>
      </c>
      <c r="AA448" t="str">
        <v>AB</v>
      </c>
      <c r="AC448">
        <v>462875088</v>
      </c>
    </row>
    <row r="449">
      <c r="B449" t="str">
        <v>Cảng Xếp</v>
      </c>
      <c r="N449">
        <v>28731126</v>
      </c>
      <c r="R449">
        <v>37297152</v>
      </c>
      <c r="U449" t="str">
        <v>AB</v>
      </c>
      <c r="W449" t="str">
        <v>AB</v>
      </c>
      <c r="AA449" t="str">
        <v>AB</v>
      </c>
      <c r="AC449">
        <v>45248758</v>
      </c>
    </row>
    <row r="450">
      <c r="B450" t="str">
        <v>Cảng Dỡ</v>
      </c>
    </row>
    <row r="451">
      <c r="B451" t="str">
        <v>Cảng Xếp</v>
      </c>
      <c r="R451">
        <v>41117000</v>
      </c>
      <c r="AA451" t="str">
        <v>AB</v>
      </c>
    </row>
    <row r="452">
      <c r="B452" t="str">
        <v>Hoa Tiêu</v>
      </c>
      <c r="N452">
        <v>56000000</v>
      </c>
      <c r="O452">
        <f>4320000+2160000</f>
        <v>6480000</v>
      </c>
      <c r="R452">
        <v>4320000</v>
      </c>
      <c r="U452" t="str">
        <v>AB</v>
      </c>
      <c r="W452" t="str">
        <v>AB</v>
      </c>
      <c r="X452" t="str">
        <v>AB</v>
      </c>
      <c r="AA452" t="str">
        <v>AB</v>
      </c>
    </row>
    <row r="453">
      <c r="B453" t="str">
        <v>Tàu lai</v>
      </c>
      <c r="N453">
        <v>106522866</v>
      </c>
      <c r="O453">
        <v>16848000</v>
      </c>
      <c r="R453">
        <v>22653032</v>
      </c>
      <c r="U453" t="str">
        <v>AB</v>
      </c>
      <c r="W453" t="str">
        <v>AB</v>
      </c>
      <c r="X453" t="str">
        <v>AB</v>
      </c>
      <c r="AA453" t="str">
        <v>AB</v>
      </c>
    </row>
    <row r="454">
      <c r="B454" t="str">
        <v>Cầu Bến</v>
      </c>
      <c r="N454">
        <v>4320000</v>
      </c>
      <c r="O454">
        <v>22231411</v>
      </c>
      <c r="P454">
        <f>12062665+21809790</f>
        <v>33872455</v>
      </c>
      <c r="Q454">
        <v>20851139</v>
      </c>
      <c r="R454">
        <v>11000000</v>
      </c>
      <c r="U454" t="str">
        <v>AB</v>
      </c>
      <c r="W454" t="str">
        <v>CN</v>
      </c>
      <c r="X454" t="str">
        <v>AB</v>
      </c>
      <c r="Y454" t="str">
        <v>AB</v>
      </c>
      <c r="Z454" t="str">
        <v>VT</v>
      </c>
      <c r="AA454" t="str">
        <v>CN</v>
      </c>
    </row>
    <row r="455">
      <c r="A455">
        <v>18.3</v>
      </c>
      <c r="B455" t="str">
        <v>Lương</v>
      </c>
      <c r="L455">
        <f>+SUM(L456:L460)</f>
        <v>0</v>
      </c>
      <c r="M455">
        <f>+SUM(M456:M460)</f>
        <v>105269000</v>
      </c>
      <c r="N455">
        <f>+SUM(N456:N460)</f>
        <v>100275000</v>
      </c>
      <c r="O455">
        <f>+SUM(O456:O460)</f>
        <v>298343000</v>
      </c>
      <c r="P455">
        <f>+SUM(P456:P460)</f>
        <v>337385166.6666667</v>
      </c>
      <c r="Q455">
        <f>+SUM(Q456:Q460)</f>
        <v>236118500</v>
      </c>
      <c r="R455">
        <f>+SUM(R456:R460)</f>
        <v>220093500</v>
      </c>
      <c r="S455">
        <f>+SUM(S456:S460)</f>
        <v>0</v>
      </c>
    </row>
    <row r="456">
      <c r="B456" t="str">
        <v>Quý</v>
      </c>
      <c r="M456">
        <v>73269000</v>
      </c>
      <c r="N456">
        <v>80008000</v>
      </c>
      <c r="O456">
        <v>298343000</v>
      </c>
      <c r="V456" t="str">
        <v>CN</v>
      </c>
      <c r="W456" t="str">
        <v>CN</v>
      </c>
      <c r="X456" t="str">
        <v>TM</v>
      </c>
      <c r="AC456">
        <f>+L456+L411+L397+L360+L317+L230+L229+L228+L180</f>
        <v>1218163000</v>
      </c>
    </row>
    <row r="457">
      <c r="B457" t="str">
        <v>Tháng</v>
      </c>
      <c r="M457">
        <f>5000000+15000000+12000000</f>
        <v>32000000</v>
      </c>
      <c r="N457">
        <f>3000000+17267000</f>
        <v>20267000</v>
      </c>
      <c r="P457">
        <f>256918500+1000000</f>
        <v>257918500</v>
      </c>
      <c r="Q457">
        <v>225118500</v>
      </c>
      <c r="R457">
        <v>220093500</v>
      </c>
      <c r="V457" t="str">
        <v>CN</v>
      </c>
      <c r="W457" t="str">
        <v>CN</v>
      </c>
      <c r="Y457" t="str">
        <v>VT</v>
      </c>
      <c r="Z457" t="str">
        <v>VT</v>
      </c>
      <c r="AA457" t="str">
        <v>VT</v>
      </c>
    </row>
    <row r="458">
      <c r="B458" t="str">
        <v>Ứng thuỷ thủ</v>
      </c>
      <c r="P458">
        <v>40000000</v>
      </c>
      <c r="Q458">
        <v>6000000</v>
      </c>
      <c r="Y458" t="str">
        <v>TM</v>
      </c>
      <c r="Z458" t="str">
        <v>CN</v>
      </c>
      <c r="AC458">
        <f>+M456+12000000+M504+M414+M362+M319</f>
        <v>344144000</v>
      </c>
    </row>
    <row r="459">
      <c r="B459" t="str">
        <v>Bồi dưỡng</v>
      </c>
      <c r="P459">
        <v>800000</v>
      </c>
      <c r="Q459">
        <v>5000000</v>
      </c>
      <c r="Y459" t="str">
        <v>CN</v>
      </c>
      <c r="Z459" t="str">
        <v>CN</v>
      </c>
    </row>
    <row r="460">
      <c r="B460" t="str">
        <v>Đi lại</v>
      </c>
      <c r="P460">
        <f>26000000/3+8000000+2000000+20000000</f>
        <v>38666666.666666664</v>
      </c>
      <c r="Y460" t="str">
        <v>TM</v>
      </c>
      <c r="AC460">
        <v>384898980</v>
      </c>
      <c r="AG460">
        <f>662-46</f>
        <v>616</v>
      </c>
    </row>
    <row r="461">
      <c r="A461">
        <v>18.4</v>
      </c>
      <c r="B461" t="str">
        <v>Tiền dầu</v>
      </c>
      <c r="L461">
        <f>+SUM(L462:L466)</f>
        <v>0</v>
      </c>
      <c r="M461">
        <f>+SUM(M462:M466)</f>
        <v>0</v>
      </c>
      <c r="N461">
        <f>+SUM(N462:N466)</f>
        <v>680870980.4814814</v>
      </c>
      <c r="O461">
        <f>+SUM(O462:O466)</f>
        <v>525000000</v>
      </c>
      <c r="P461">
        <f>+SUM(P462:P466)</f>
        <v>977989140</v>
      </c>
      <c r="Q461">
        <f>+SUM(Q462:Q466)</f>
        <v>1558717610</v>
      </c>
      <c r="R461">
        <f>+SUM(R462:R466)</f>
        <v>2001979000</v>
      </c>
      <c r="S461">
        <f>+SUM(S462:S466)</f>
        <v>1077800960</v>
      </c>
      <c r="AC461">
        <v>579215880</v>
      </c>
    </row>
    <row r="462">
      <c r="B462" t="str">
        <v>Dầu DO</v>
      </c>
      <c r="N462">
        <v>616070980.4814814</v>
      </c>
      <c r="O462">
        <v>525000000</v>
      </c>
      <c r="P462">
        <v>542857140</v>
      </c>
      <c r="Q462">
        <f>300000000+250000000+579215880+36613150</f>
        <v>1165829030</v>
      </c>
      <c r="R462">
        <v>1390134000</v>
      </c>
      <c r="S462">
        <v>577576960</v>
      </c>
      <c r="W462" t="str">
        <v>VT</v>
      </c>
      <c r="X462" t="str">
        <v>AB</v>
      </c>
      <c r="Y462" t="str">
        <v>AB</v>
      </c>
      <c r="Z462" t="str">
        <v>AB</v>
      </c>
      <c r="AA462" t="str">
        <v>AB</v>
      </c>
      <c r="AB462" t="str">
        <v>AB</v>
      </c>
      <c r="AC462">
        <v>735064640</v>
      </c>
    </row>
    <row r="463">
      <c r="B463" t="str">
        <v>Dầu DO</v>
      </c>
      <c r="P463">
        <v>435132000</v>
      </c>
      <c r="Q463">
        <f>384898980+7989600</f>
        <v>392888580</v>
      </c>
      <c r="R463">
        <v>7845000</v>
      </c>
      <c r="S463">
        <v>400000000</v>
      </c>
      <c r="Y463" t="str">
        <v>AB</v>
      </c>
      <c r="Z463" t="str">
        <v>AB</v>
      </c>
      <c r="AA463" t="str">
        <v>AB</v>
      </c>
      <c r="AB463" t="str">
        <v>AB</v>
      </c>
      <c r="AC463">
        <f>+AC460+AC461+AC462</f>
        <v>1699179500</v>
      </c>
    </row>
    <row r="464">
      <c r="B464" t="str">
        <v>Dầu DO</v>
      </c>
      <c r="R464">
        <v>550000000</v>
      </c>
      <c r="AA464" t="str">
        <v>AB</v>
      </c>
      <c r="AC464">
        <f>108320000/5</f>
        <v>21664000</v>
      </c>
    </row>
    <row r="465">
      <c r="B465" t="str">
        <v>Vận chuyển dầu</v>
      </c>
    </row>
    <row r="466">
      <c r="B466" t="str">
        <v>Dầu LO</v>
      </c>
      <c r="N466">
        <v>64800000</v>
      </c>
      <c r="R466">
        <v>54000000</v>
      </c>
      <c r="S466">
        <v>100224000</v>
      </c>
      <c r="W466" t="str">
        <v>AB</v>
      </c>
      <c r="AA466" t="str">
        <v>AB</v>
      </c>
      <c r="AB466" t="str">
        <v>AB</v>
      </c>
    </row>
    <row r="467">
      <c r="A467">
        <v>18.5</v>
      </c>
      <c r="B467" t="str">
        <v>Tiền VAT</v>
      </c>
      <c r="Q467">
        <f>+SUM(Q468:Q469)</f>
        <v>12918848</v>
      </c>
      <c r="R467">
        <f>+SUM(R468:R469)</f>
        <v>0</v>
      </c>
      <c r="S467">
        <f>+SUM(S468:S469)</f>
        <v>0</v>
      </c>
      <c r="AC467">
        <f>+O422+O466</f>
        <v>71400000</v>
      </c>
    </row>
    <row r="468">
      <c r="B468" t="str">
        <v>Thuế TNDN</v>
      </c>
      <c r="Q468">
        <v>12918848</v>
      </c>
      <c r="Z468" t="str">
        <v>AB</v>
      </c>
      <c r="AC468">
        <f>58000*200</f>
        <v>11600000</v>
      </c>
    </row>
    <row r="470">
      <c r="A470">
        <v>18.6</v>
      </c>
      <c r="B470" t="str">
        <v>Bảo Hiểm</v>
      </c>
      <c r="N470">
        <v>139122500</v>
      </c>
      <c r="P470">
        <v>24096000</v>
      </c>
      <c r="Q470">
        <f>+SUM(Q471:Q472)</f>
        <v>21213000</v>
      </c>
      <c r="R470">
        <f>+SUM(R471:R472)</f>
        <v>160786500</v>
      </c>
      <c r="S470">
        <f>+SUM(S471:S472)</f>
        <v>0</v>
      </c>
      <c r="W470" t="str">
        <v>AB</v>
      </c>
      <c r="Y470" t="str">
        <v>VT</v>
      </c>
    </row>
    <row r="471">
      <c r="B471" t="str">
        <v>BH Tàu</v>
      </c>
      <c r="R471">
        <v>139122500</v>
      </c>
      <c r="AA471" t="str">
        <v>AB</v>
      </c>
    </row>
    <row r="472">
      <c r="B472" t="str">
        <v>BH XH</v>
      </c>
      <c r="Q472">
        <v>21213000</v>
      </c>
      <c r="R472">
        <v>21664000</v>
      </c>
      <c r="Z472" t="str">
        <v>AB</v>
      </c>
      <c r="AA472" t="str">
        <v>AB</v>
      </c>
    </row>
    <row r="473">
      <c r="A473">
        <v>18.7</v>
      </c>
      <c r="B473" t="str">
        <v>Vật tư công ty cấp</v>
      </c>
      <c r="L473">
        <f>+SUM(L474:L478)</f>
        <v>0</v>
      </c>
      <c r="M473">
        <f>+SUM(M474:M481)</f>
        <v>5860000</v>
      </c>
      <c r="N473">
        <f>+SUM(N474:N481)</f>
        <v>0</v>
      </c>
      <c r="O473">
        <f>+SUM(O474:O481)</f>
        <v>40596896</v>
      </c>
      <c r="P473">
        <f>+SUM(P474:P481)</f>
        <v>4817000</v>
      </c>
      <c r="Q473">
        <f>+SUM(Q474:Q481)</f>
        <v>29289200</v>
      </c>
      <c r="R473">
        <f>+SUM(R474:R481)</f>
        <v>76158557</v>
      </c>
      <c r="S473">
        <f>+SUM(S474:S481)</f>
        <v>71212500</v>
      </c>
      <c r="AC473">
        <f>64594242/5</f>
        <v>12918848.4</v>
      </c>
    </row>
    <row r="474">
      <c r="B474" t="str">
        <v>Vật tư AB</v>
      </c>
      <c r="M474">
        <v>1860000</v>
      </c>
      <c r="O474">
        <f>3850000+1470000+5217696+9265000+12139200+6765000</f>
        <v>38706896</v>
      </c>
      <c r="P474">
        <v>2925000</v>
      </c>
      <c r="Q474">
        <f>6171600+9720000</f>
        <v>15891600</v>
      </c>
      <c r="R474">
        <f>7776000+12078807+32253750</f>
        <v>52108557</v>
      </c>
      <c r="S474">
        <v>21191220</v>
      </c>
      <c r="V474" t="str">
        <v>CN</v>
      </c>
      <c r="X474" t="str">
        <v>AB</v>
      </c>
      <c r="Y474" t="str">
        <v>TM</v>
      </c>
      <c r="Z474" t="str">
        <v>AB</v>
      </c>
      <c r="AA474" t="str">
        <v>AB</v>
      </c>
      <c r="AB474" t="str">
        <v>AB</v>
      </c>
      <c r="AC474">
        <f>1245+2700+1620+3700</f>
        <v>9265</v>
      </c>
    </row>
    <row r="475">
      <c r="B475" t="str">
        <v>Sửa chữa</v>
      </c>
      <c r="M475">
        <v>4000000</v>
      </c>
      <c r="Q475">
        <v>3510000</v>
      </c>
      <c r="S475">
        <v>50021280</v>
      </c>
      <c r="V475" t="str">
        <v>CN</v>
      </c>
      <c r="Z475" t="str">
        <v>AB</v>
      </c>
      <c r="AB475" t="str">
        <v>AB</v>
      </c>
      <c r="AC475">
        <f>+O474+O335</f>
        <v>53594896</v>
      </c>
    </row>
    <row r="476">
      <c r="B476" t="str">
        <v>Thẩm định</v>
      </c>
    </row>
    <row r="477">
      <c r="B477" t="str">
        <v>Vật tư CN</v>
      </c>
      <c r="O477">
        <f>1080000+810000</f>
        <v>1890000</v>
      </c>
      <c r="P477">
        <v>1892000</v>
      </c>
      <c r="Q477">
        <f>2490000+2937600</f>
        <v>5427600</v>
      </c>
      <c r="R477">
        <v>2000000</v>
      </c>
      <c r="X477" t="str">
        <v>CN</v>
      </c>
      <c r="Y477" t="str">
        <v>CN</v>
      </c>
      <c r="Z477" t="str">
        <v>CN</v>
      </c>
      <c r="AA477" t="str">
        <v>CN</v>
      </c>
    </row>
    <row r="478">
      <c r="B478" t="str">
        <v>Vật tư VT</v>
      </c>
      <c r="R478">
        <v>22050000</v>
      </c>
      <c r="AA478" t="str">
        <v>VT</v>
      </c>
    </row>
    <row r="479">
      <c r="B479" t="str">
        <v>Vật tư TM</v>
      </c>
      <c r="Q479">
        <v>4460000</v>
      </c>
      <c r="Z479" t="str">
        <v>TM</v>
      </c>
    </row>
    <row r="482">
      <c r="A482">
        <v>36</v>
      </c>
      <c r="B482" t="str">
        <v>Vũ Gia 36</v>
      </c>
      <c r="L482">
        <f>+L483+L490+L507+L511+L514+L517+L501</f>
        <v>1585831806</v>
      </c>
      <c r="M482">
        <f>+M483+M490+M507+M511+M514+M517+M501</f>
        <v>523989217</v>
      </c>
      <c r="N482">
        <f>+N483+N490+N507+N511+N514+N517+N501</f>
        <v>1116393211</v>
      </c>
      <c r="O482">
        <f>+O483+O490+O507+O511+O514+O517+O501</f>
        <v>2000966583</v>
      </c>
      <c r="P482">
        <f>+P483+P490+P507+P511+P514+P517+P501</f>
        <v>819190642</v>
      </c>
      <c r="Q482">
        <f>+Q483+Q490+Q501+Q507+Q511+Q514+Q517</f>
        <v>1608637952</v>
      </c>
      <c r="R482">
        <f>+R483+R490+R501+R507+R511+R514+R517</f>
        <v>1907282674</v>
      </c>
      <c r="S482">
        <f>+S483+S490+S501+S507+S511+S514+S517</f>
        <v>583110457</v>
      </c>
      <c r="AC482">
        <v>1645631806</v>
      </c>
    </row>
    <row r="483">
      <c r="A483">
        <v>36.1</v>
      </c>
      <c r="B483" t="str">
        <v xml:space="preserve"> Tiền Ứng</v>
      </c>
      <c r="L483">
        <f>+SUM(L484:L488)</f>
        <v>120000000</v>
      </c>
      <c r="M483">
        <f>+SUM(M484:M489)</f>
        <v>70000000</v>
      </c>
      <c r="N483">
        <f>+SUM(N484:N489)</f>
        <v>130000000</v>
      </c>
      <c r="O483">
        <f>+SUM(O484:O489)</f>
        <v>160000000</v>
      </c>
      <c r="P483">
        <f>+SUM(P484:P489)</f>
        <v>100000000</v>
      </c>
      <c r="Q483">
        <f>+SUM(Q484:Q489)</f>
        <v>170000000</v>
      </c>
      <c r="R483">
        <f>+SUM(R484:R489)</f>
        <v>128215358.33333334</v>
      </c>
      <c r="S483">
        <f>+SUM(S484:S489)</f>
        <v>30000000</v>
      </c>
      <c r="AC483">
        <f>+AC482-L482</f>
        <v>59800000</v>
      </c>
    </row>
    <row r="484">
      <c r="B484" t="str">
        <v>Lần 1</v>
      </c>
      <c r="L484">
        <v>20000000</v>
      </c>
      <c r="M484">
        <v>20000000</v>
      </c>
      <c r="N484">
        <v>40000000</v>
      </c>
      <c r="O484">
        <v>20000000</v>
      </c>
      <c r="P484">
        <v>30000000</v>
      </c>
      <c r="Q484">
        <v>30000000</v>
      </c>
      <c r="R484">
        <v>20000000</v>
      </c>
      <c r="S484">
        <v>30000000</v>
      </c>
      <c r="V484" t="str">
        <v>CN</v>
      </c>
      <c r="W484" t="str">
        <v>CN</v>
      </c>
      <c r="X484" t="str">
        <v>CN</v>
      </c>
      <c r="Y484" t="str">
        <v>AB</v>
      </c>
      <c r="Z484" t="str">
        <v>CN</v>
      </c>
      <c r="AA484" t="str">
        <v>AB</v>
      </c>
      <c r="AB484" t="str">
        <v>AB</v>
      </c>
    </row>
    <row r="485">
      <c r="B485" t="str">
        <v>Lần 2</v>
      </c>
      <c r="L485">
        <v>20000000</v>
      </c>
      <c r="M485">
        <v>10000000</v>
      </c>
      <c r="N485">
        <v>20000000</v>
      </c>
      <c r="O485">
        <v>20000000</v>
      </c>
      <c r="P485">
        <v>20000000</v>
      </c>
      <c r="Q485">
        <v>40000000</v>
      </c>
      <c r="R485">
        <v>20000000</v>
      </c>
      <c r="V485" t="str">
        <v>CN</v>
      </c>
      <c r="W485" t="str">
        <v>CN</v>
      </c>
      <c r="X485" t="str">
        <v>CN</v>
      </c>
      <c r="Y485" t="str">
        <v>VT</v>
      </c>
      <c r="Z485" t="str">
        <v>CN</v>
      </c>
      <c r="AA485" t="str">
        <v>AB</v>
      </c>
    </row>
    <row r="486">
      <c r="B486" t="str">
        <v>Lần 3</v>
      </c>
      <c r="L486">
        <v>40000000</v>
      </c>
      <c r="M486">
        <v>40000000</v>
      </c>
      <c r="N486">
        <v>20000000</v>
      </c>
      <c r="O486">
        <v>40000000</v>
      </c>
      <c r="P486">
        <v>10000000</v>
      </c>
      <c r="Q486">
        <v>30000000</v>
      </c>
      <c r="R486">
        <v>20000000</v>
      </c>
      <c r="U486" t="str">
        <v>CN</v>
      </c>
      <c r="V486" t="str">
        <v>CN</v>
      </c>
      <c r="W486" t="str">
        <v>CN</v>
      </c>
      <c r="X486" t="str">
        <v>CN</v>
      </c>
      <c r="Y486" t="str">
        <v>VT</v>
      </c>
      <c r="Z486" t="str">
        <v>AB</v>
      </c>
      <c r="AA486" t="str">
        <v>AB</v>
      </c>
    </row>
    <row r="487">
      <c r="B487" t="str">
        <v>Lần 4</v>
      </c>
      <c r="L487">
        <v>40000000</v>
      </c>
      <c r="N487">
        <v>40000000</v>
      </c>
      <c r="O487">
        <v>20000000</v>
      </c>
      <c r="P487">
        <v>10000000</v>
      </c>
      <c r="Q487">
        <v>10000000</v>
      </c>
      <c r="R487">
        <v>30000000</v>
      </c>
      <c r="U487" t="str">
        <v>CN</v>
      </c>
      <c r="W487" t="str">
        <v>VT</v>
      </c>
      <c r="X487" t="str">
        <v>AB</v>
      </c>
      <c r="Y487" t="str">
        <v>CN</v>
      </c>
      <c r="Z487" t="str">
        <v>AB</v>
      </c>
      <c r="AA487" t="str">
        <v>VT</v>
      </c>
      <c r="AC487">
        <f>447316249-447332386</f>
        <v>-16137</v>
      </c>
    </row>
    <row r="488">
      <c r="B488" t="str">
        <v>Lần 5</v>
      </c>
      <c r="N488">
        <v>10000000</v>
      </c>
      <c r="O488">
        <v>30000000</v>
      </c>
      <c r="P488">
        <v>30000000</v>
      </c>
      <c r="Q488">
        <v>40000000</v>
      </c>
      <c r="R488">
        <v>38215358.333333336</v>
      </c>
      <c r="W488" t="str">
        <v>CN</v>
      </c>
      <c r="X488" t="str">
        <v>CN</v>
      </c>
      <c r="Y488" t="str">
        <v>TM</v>
      </c>
      <c r="Z488" t="str">
        <v>CN</v>
      </c>
      <c r="AA488" t="str">
        <v>VT</v>
      </c>
    </row>
    <row r="489">
      <c r="B489" t="str">
        <v>Lần 6</v>
      </c>
      <c r="O489">
        <v>30000000</v>
      </c>
      <c r="Q489">
        <v>20000000</v>
      </c>
      <c r="X489" t="str">
        <v>CN</v>
      </c>
      <c r="Z489" t="str">
        <v>CN</v>
      </c>
    </row>
    <row r="490">
      <c r="A490">
        <v>36.2</v>
      </c>
      <c r="B490" t="str">
        <v>Chi phí Cảng</v>
      </c>
      <c r="L490">
        <f>+SUM(L491:L499)</f>
        <v>202436742</v>
      </c>
      <c r="M490">
        <f>+SUM(M491:M499)</f>
        <v>133866717</v>
      </c>
      <c r="N490">
        <f>+SUM(N491:N499)</f>
        <v>187278406</v>
      </c>
      <c r="O490">
        <f>+SUM(O491:O499)</f>
        <v>229286758</v>
      </c>
      <c r="P490">
        <f>+SUM(P491:P499)</f>
        <v>62177942</v>
      </c>
      <c r="Q490">
        <f>+SUM(Q491:Q500)</f>
        <v>180855474</v>
      </c>
      <c r="R490">
        <f>+SUM(R491:R500)</f>
        <v>240793875</v>
      </c>
      <c r="S490">
        <f>+SUM(S491:S500)</f>
        <v>15680957</v>
      </c>
    </row>
    <row r="491">
      <c r="B491" t="str">
        <v>Nghĩa đại lý</v>
      </c>
      <c r="L491">
        <v>500000</v>
      </c>
      <c r="O491">
        <v>3000000</v>
      </c>
      <c r="P491">
        <v>2600000</v>
      </c>
      <c r="U491" t="str">
        <v>CN</v>
      </c>
      <c r="X491" t="str">
        <v>CN</v>
      </c>
      <c r="Y491" t="str">
        <v>CN</v>
      </c>
    </row>
    <row r="492">
      <c r="B492" t="str">
        <v>Cảng Xếp</v>
      </c>
      <c r="L492">
        <v>9979200</v>
      </c>
      <c r="M492">
        <f>20239880+9979200</f>
        <v>30219080</v>
      </c>
      <c r="O492">
        <v>44773738</v>
      </c>
      <c r="P492">
        <v>42729942</v>
      </c>
      <c r="Q492">
        <v>44749011</v>
      </c>
      <c r="R492">
        <v>43325000</v>
      </c>
      <c r="U492" t="str">
        <v>AB</v>
      </c>
      <c r="V492" t="str">
        <v>AB</v>
      </c>
      <c r="X492" t="str">
        <v>AB</v>
      </c>
      <c r="Y492" t="str">
        <v>VT</v>
      </c>
      <c r="Z492" t="str">
        <v>AB</v>
      </c>
      <c r="AA492" t="str">
        <v>AB</v>
      </c>
      <c r="AF492">
        <f>+AF11-4930000</f>
        <v>10748332</v>
      </c>
    </row>
    <row r="493">
      <c r="B493" t="str">
        <v>Cảng Dỡ</v>
      </c>
      <c r="L493">
        <v>5185340</v>
      </c>
      <c r="M493">
        <v>6505964</v>
      </c>
      <c r="O493">
        <v>37013258</v>
      </c>
      <c r="Q493">
        <v>41789104</v>
      </c>
      <c r="R493">
        <v>28954579</v>
      </c>
      <c r="U493" t="str">
        <v>AB</v>
      </c>
      <c r="V493" t="str">
        <v>AB</v>
      </c>
      <c r="X493" t="str">
        <v>AB</v>
      </c>
      <c r="Z493" t="str">
        <v>AB</v>
      </c>
      <c r="AA493" t="str">
        <v>AB</v>
      </c>
    </row>
    <row r="494">
      <c r="B494" t="str">
        <v>Cảng Xếp</v>
      </c>
      <c r="N494">
        <v>19943428</v>
      </c>
      <c r="O494">
        <v>68550556</v>
      </c>
      <c r="Q494">
        <v>57467488</v>
      </c>
      <c r="R494">
        <v>44609760</v>
      </c>
      <c r="W494" t="str">
        <v>VT</v>
      </c>
      <c r="X494" t="str">
        <v>AB</v>
      </c>
      <c r="Z494" t="str">
        <v>AB</v>
      </c>
      <c r="AA494" t="str">
        <v>AB</v>
      </c>
      <c r="AC494">
        <v>163878760</v>
      </c>
      <c r="AE494">
        <v>404226987</v>
      </c>
    </row>
    <row r="495">
      <c r="B495" t="str">
        <v>Cảng Dỡ</v>
      </c>
      <c r="L495">
        <v>34646246</v>
      </c>
      <c r="M495">
        <v>39089635</v>
      </c>
      <c r="N495">
        <v>38090497</v>
      </c>
      <c r="R495">
        <v>27997070</v>
      </c>
      <c r="U495" t="str">
        <v>AB</v>
      </c>
      <c r="V495" t="str">
        <v>AB</v>
      </c>
      <c r="W495" t="str">
        <v>AB</v>
      </c>
      <c r="AA495" t="str">
        <v>AB</v>
      </c>
      <c r="AC495">
        <f>+AC494-R451-R406-R355</f>
        <v>44609760</v>
      </c>
      <c r="AE495">
        <f>+AE494-AE11</f>
        <v>-611036896.1851854</v>
      </c>
    </row>
    <row r="496">
      <c r="B496" t="str">
        <v>Cảng Xếp</v>
      </c>
      <c r="L496">
        <v>45482062</v>
      </c>
      <c r="M496">
        <v>58052038</v>
      </c>
      <c r="N496">
        <v>58350808</v>
      </c>
      <c r="R496">
        <v>33300235</v>
      </c>
      <c r="U496" t="str">
        <v>AB</v>
      </c>
      <c r="V496" t="str">
        <v>AB</v>
      </c>
      <c r="W496" t="str">
        <v>AB</v>
      </c>
      <c r="AA496" t="str">
        <v>AB</v>
      </c>
    </row>
    <row r="497">
      <c r="B497" t="str">
        <v>Cảng Dỡ</v>
      </c>
      <c r="L497">
        <v>37846528</v>
      </c>
      <c r="N497">
        <v>26232527</v>
      </c>
      <c r="O497">
        <v>34226090</v>
      </c>
      <c r="U497" t="str">
        <v>AB</v>
      </c>
      <c r="W497" t="str">
        <v>AB</v>
      </c>
      <c r="X497" t="str">
        <v>AB</v>
      </c>
      <c r="AD497">
        <f>519690-348861</f>
        <v>170829</v>
      </c>
      <c r="AE497">
        <f>+AE11-404226987</f>
        <v>611036896.1851854</v>
      </c>
    </row>
    <row r="498">
      <c r="B498" t="str">
        <v>Tàu lai</v>
      </c>
      <c r="L498">
        <v>68797366</v>
      </c>
      <c r="N498">
        <v>44661146</v>
      </c>
      <c r="O498">
        <f>9979200+21692891</f>
        <v>31672091</v>
      </c>
      <c r="P498">
        <v>16848000</v>
      </c>
      <c r="Q498">
        <f>5990965+8640000+9979200</f>
        <v>24610165</v>
      </c>
      <c r="R498">
        <f>8640000+9000000+979200</f>
        <v>18619200</v>
      </c>
      <c r="S498">
        <v>9936000</v>
      </c>
      <c r="U498" t="str">
        <v>AB</v>
      </c>
      <c r="W498" t="str">
        <v>AB</v>
      </c>
      <c r="X498" t="str">
        <v>AB</v>
      </c>
      <c r="Y498" t="str">
        <v>AB</v>
      </c>
      <c r="Z498" t="str">
        <v>VT</v>
      </c>
      <c r="AA498" t="str">
        <v>AB</v>
      </c>
      <c r="AB498" t="str">
        <v>AB</v>
      </c>
    </row>
    <row r="499">
      <c r="B499" t="str">
        <v>Cầu Bến</v>
      </c>
      <c r="O499">
        <f>4904410+5146615</f>
        <v>10051025</v>
      </c>
      <c r="Q499">
        <f>6032510+6207196</f>
        <v>12239706</v>
      </c>
      <c r="R499">
        <f>5749189+9334267+19019340</f>
        <v>34102796</v>
      </c>
      <c r="S499">
        <v>5744957</v>
      </c>
      <c r="U499" t="str">
        <v>AB</v>
      </c>
      <c r="X499" t="str">
        <v>AB</v>
      </c>
      <c r="Z499" t="str">
        <v>AB</v>
      </c>
      <c r="AA499" t="str">
        <v>AB</v>
      </c>
      <c r="AB499" t="str">
        <v>VT</v>
      </c>
    </row>
    <row r="500">
      <c r="B500" t="str">
        <v>Hoa Tiêu</v>
      </c>
      <c r="R500">
        <f>5263110+4622125</f>
        <v>9885235</v>
      </c>
      <c r="AA500" t="str">
        <v>AB</v>
      </c>
    </row>
    <row r="501">
      <c r="A501">
        <v>36.3</v>
      </c>
      <c r="B501" t="str">
        <v>Lương</v>
      </c>
      <c r="L501">
        <f>+SUM(L502:L506)</f>
        <v>493495000</v>
      </c>
      <c r="M501">
        <f>+SUM(M502:M506)</f>
        <v>45000000</v>
      </c>
      <c r="N501">
        <f>+SUM(N502:N506)</f>
        <v>30000000</v>
      </c>
      <c r="O501">
        <f>+SUM(O502:O506)</f>
        <v>465811000</v>
      </c>
      <c r="P501">
        <f>+SUM(P502:P506)</f>
        <v>232091500</v>
      </c>
      <c r="Q501">
        <f>+SUM(Q502:Q506)</f>
        <v>179939500</v>
      </c>
      <c r="R501">
        <f>+SUM(R502:R506)</f>
        <v>236974566.66666666</v>
      </c>
      <c r="S501">
        <f>+SUM(S502:S506)</f>
        <v>0</v>
      </c>
    </row>
    <row r="502">
      <c r="B502" t="str">
        <v>Quý</v>
      </c>
      <c r="L502">
        <v>488495000</v>
      </c>
      <c r="O502">
        <v>465811000</v>
      </c>
      <c r="U502" t="str">
        <v>TM</v>
      </c>
      <c r="X502" t="str">
        <v>TM</v>
      </c>
      <c r="AC502">
        <f>+L502+L412+L398+L361+L318+L231+L230+L229+L181</f>
        <v>2051268000</v>
      </c>
    </row>
    <row r="503">
      <c r="B503" t="str">
        <v>Tháng</v>
      </c>
      <c r="L503">
        <v>5000000</v>
      </c>
      <c r="P503">
        <v>229091500</v>
      </c>
      <c r="Q503">
        <v>169939500</v>
      </c>
      <c r="R503">
        <v>202606166.66666666</v>
      </c>
      <c r="U503" t="str">
        <v>CN</v>
      </c>
      <c r="Y503" t="str">
        <v>VT</v>
      </c>
      <c r="Z503" t="str">
        <v>VT</v>
      </c>
      <c r="AA503" t="str">
        <v>VT</v>
      </c>
      <c r="AC503">
        <f>+Q503+Q457+Q413+Q362+Q319</f>
        <v>964035333.3333333</v>
      </c>
    </row>
    <row r="504">
      <c r="B504" t="str">
        <v>Ứng lương thuỷ thủ</v>
      </c>
      <c r="M504">
        <v>45000000</v>
      </c>
      <c r="N504">
        <v>30000000</v>
      </c>
      <c r="Q504">
        <v>10000000</v>
      </c>
      <c r="V504" t="str">
        <v>CN</v>
      </c>
      <c r="W504" t="str">
        <v>CN</v>
      </c>
      <c r="Z504" t="str">
        <v>CN</v>
      </c>
      <c r="AE504">
        <f>402532-364122</f>
        <v>38410</v>
      </c>
    </row>
    <row r="505">
      <c r="B505" t="str">
        <v>Bồi dưỡng tàu</v>
      </c>
      <c r="P505">
        <f>2200000+800000</f>
        <v>3000000</v>
      </c>
      <c r="R505">
        <v>28190000</v>
      </c>
      <c r="Y505" t="str">
        <v>CN</v>
      </c>
      <c r="AA505" t="str">
        <v>VT</v>
      </c>
    </row>
    <row r="506">
      <c r="B506" t="str">
        <v>Đi lại</v>
      </c>
      <c r="R506">
        <v>6178400</v>
      </c>
      <c r="AA506" t="str">
        <v>AB</v>
      </c>
    </row>
    <row r="507">
      <c r="A507">
        <v>36.4</v>
      </c>
      <c r="B507" t="str">
        <v>Tiền dầu</v>
      </c>
      <c r="L507">
        <f>+SUM(L508:L510)</f>
        <v>769900064</v>
      </c>
      <c r="M507">
        <f>+SUM(M508:M510)</f>
        <v>193200000</v>
      </c>
      <c r="N507">
        <f>+SUM(N508:N510)</f>
        <v>699670340</v>
      </c>
      <c r="O507">
        <f>+SUM(O508:O510)</f>
        <v>1112928825</v>
      </c>
      <c r="P507">
        <f>+SUM(P508:P510)</f>
        <v>362076200</v>
      </c>
      <c r="Q507">
        <f>+SUM(Q508:Q510)</f>
        <v>1029833130</v>
      </c>
      <c r="R507">
        <f>+SUM(R508:R510)</f>
        <v>1279634874</v>
      </c>
      <c r="S507">
        <f>+SUM(S508:S510)</f>
        <v>537429500</v>
      </c>
    </row>
    <row r="508">
      <c r="B508" t="str">
        <v>Dầu DO</v>
      </c>
      <c r="L508">
        <v>466700000</v>
      </c>
      <c r="M508">
        <v>193200000</v>
      </c>
      <c r="N508">
        <v>300800000</v>
      </c>
      <c r="O508">
        <v>607818000</v>
      </c>
      <c r="P508">
        <v>362076200</v>
      </c>
      <c r="Q508">
        <v>200368490</v>
      </c>
      <c r="R508">
        <f>350000000+367044800</f>
        <v>717044800</v>
      </c>
      <c r="S508">
        <v>537429500</v>
      </c>
      <c r="V508" t="str">
        <v>AB</v>
      </c>
      <c r="W508" t="str">
        <v>AB</v>
      </c>
      <c r="X508" t="str">
        <v>AB</v>
      </c>
      <c r="Y508" t="str">
        <v>VT</v>
      </c>
      <c r="Z508" t="str">
        <v>VT</v>
      </c>
      <c r="AA508" t="str">
        <v>AB</v>
      </c>
      <c r="AB508" t="str">
        <v>AB</v>
      </c>
    </row>
    <row r="509">
      <c r="B509" t="str">
        <v>Dầu DO</v>
      </c>
      <c r="L509">
        <f>16000*18950.004</f>
        <v>303200064</v>
      </c>
      <c r="N509">
        <v>328070340</v>
      </c>
      <c r="O509">
        <v>505110825</v>
      </c>
      <c r="Q509">
        <f>735064640</f>
        <v>735064640</v>
      </c>
      <c r="R509">
        <v>562590074</v>
      </c>
      <c r="U509" t="str">
        <v>AB</v>
      </c>
      <c r="W509" t="str">
        <v>VT</v>
      </c>
      <c r="X509" t="str">
        <v>AB</v>
      </c>
      <c r="Z509" t="str">
        <v>AB</v>
      </c>
      <c r="AA509" t="str">
        <v>AB</v>
      </c>
      <c r="AD509">
        <f>+L509/18950</f>
        <v>16000.003377308707</v>
      </c>
    </row>
    <row r="510">
      <c r="B510" t="str">
        <v>Dầu LO</v>
      </c>
      <c r="N510">
        <v>70800000</v>
      </c>
      <c r="Q510">
        <v>94400000</v>
      </c>
      <c r="W510" t="str">
        <v>AB</v>
      </c>
      <c r="Z510" t="str">
        <v>AB</v>
      </c>
    </row>
    <row r="511">
      <c r="A511">
        <v>36.5</v>
      </c>
      <c r="B511" t="str">
        <v>Tiền VAT</v>
      </c>
      <c r="Q511">
        <f>+SUM(Q512:Q513)</f>
        <v>12918848</v>
      </c>
      <c r="R511">
        <f>+SUM(R512:R513)</f>
        <v>0</v>
      </c>
      <c r="S511">
        <f>+SUM(S512:S513)</f>
        <v>0</v>
      </c>
      <c r="AC511">
        <f>+Q511*5</f>
        <v>64594240</v>
      </c>
    </row>
    <row r="512">
      <c r="B512" t="str">
        <v>Thuế TNDN</v>
      </c>
      <c r="Q512">
        <v>12918848</v>
      </c>
      <c r="Z512" t="str">
        <v>AB</v>
      </c>
    </row>
    <row r="514">
      <c r="A514">
        <v>36.6</v>
      </c>
      <c r="B514" t="str">
        <v>Bảo Hiểm</v>
      </c>
      <c r="M514">
        <v>81922500</v>
      </c>
      <c r="P514">
        <v>21664000</v>
      </c>
      <c r="Q514">
        <f>+SUM(Q515:Q516)</f>
        <v>21213000</v>
      </c>
      <c r="R514">
        <f>+SUM(R515:R516)</f>
        <v>21664000</v>
      </c>
      <c r="S514">
        <f>+SUM(S515:S516)</f>
        <v>0</v>
      </c>
      <c r="V514" t="str">
        <v>AB</v>
      </c>
      <c r="Y514" t="str">
        <v>VT</v>
      </c>
    </row>
    <row r="515">
      <c r="B515" t="str">
        <v>BH Tàu</v>
      </c>
    </row>
    <row r="516">
      <c r="B516" t="str">
        <v>BHXH</v>
      </c>
      <c r="Q516">
        <v>21213000</v>
      </c>
      <c r="R516">
        <v>21664000</v>
      </c>
      <c r="Z516" t="str">
        <v>AB</v>
      </c>
      <c r="AA516" t="str">
        <v>AB</v>
      </c>
    </row>
    <row r="517">
      <c r="A517">
        <v>36.7</v>
      </c>
      <c r="B517" t="str">
        <v>Vật tư công ty cấp</v>
      </c>
      <c r="L517">
        <f>+SUM(L518:L522)</f>
        <v>0</v>
      </c>
      <c r="M517">
        <f>+SUM(M518:M522)</f>
        <v>0</v>
      </c>
      <c r="N517">
        <f>+SUM(N518:N523)</f>
        <v>69444465</v>
      </c>
      <c r="O517">
        <f>+SUM(O518:O523)</f>
        <v>32940000</v>
      </c>
      <c r="P517">
        <f>+SUM(P518:P523)</f>
        <v>41181000</v>
      </c>
      <c r="Q517">
        <f>+SUM(Q518:Q523)</f>
        <v>13878000</v>
      </c>
      <c r="R517">
        <f>+SUM(R518:R523)</f>
        <v>0</v>
      </c>
      <c r="S517">
        <f>+SUM(S518:S523)</f>
        <v>0</v>
      </c>
    </row>
    <row r="518">
      <c r="B518" t="str">
        <v>Vật tư AB VT</v>
      </c>
      <c r="N518">
        <v>21600000</v>
      </c>
      <c r="P518">
        <v>31306000</v>
      </c>
      <c r="Q518">
        <v>13878000</v>
      </c>
      <c r="W518" t="str">
        <v>AB</v>
      </c>
      <c r="Y518" t="str">
        <v>VT</v>
      </c>
      <c r="Z518" t="str">
        <v>VT</v>
      </c>
    </row>
    <row r="519">
      <c r="B519" t="str">
        <v>Sửa chữa</v>
      </c>
      <c r="N519">
        <v>18733745</v>
      </c>
      <c r="O519">
        <v>32940000</v>
      </c>
      <c r="W519" t="str">
        <v>AB</v>
      </c>
      <c r="X519" t="str">
        <v>AB</v>
      </c>
      <c r="AD519">
        <v>1241242765</v>
      </c>
    </row>
    <row r="520">
      <c r="B520" t="str">
        <v>Thẩm định</v>
      </c>
      <c r="N520">
        <v>5728320</v>
      </c>
      <c r="W520" t="str">
        <v>AB</v>
      </c>
      <c r="AD520">
        <f>+AD11-AD519</f>
        <v>2807715436</v>
      </c>
    </row>
    <row r="521">
      <c r="B521" t="str">
        <v>Vật tư CN</v>
      </c>
      <c r="N521">
        <f>3920000+690000</f>
        <v>4610000</v>
      </c>
      <c r="P521">
        <f>2737000+1400000+2738000+1400000+1600000</f>
        <v>9875000</v>
      </c>
      <c r="W521" t="str">
        <v>CN</v>
      </c>
      <c r="Y521" t="str">
        <v>CN</v>
      </c>
    </row>
    <row r="522">
      <c r="N522">
        <v>2000000</v>
      </c>
      <c r="W522" t="str">
        <v>CN</v>
      </c>
    </row>
    <row r="523">
      <c r="N523">
        <v>16772400</v>
      </c>
      <c r="W523" t="str">
        <v>AB</v>
      </c>
    </row>
    <row r="524">
      <c r="B524" t="str">
        <v>Tổng Tiền mặt Chi Ra</v>
      </c>
      <c r="F524">
        <f>+SUM(F159:F311)</f>
        <v>0</v>
      </c>
      <c r="G524">
        <f>+SUM(G159:G311)</f>
        <v>0</v>
      </c>
      <c r="H524">
        <f>+SUM(H159:H311)</f>
        <v>0</v>
      </c>
      <c r="I524">
        <f>+SUM(I159:I311)</f>
        <v>0</v>
      </c>
      <c r="J524">
        <f>+SUM(J159:J311)</f>
        <v>0</v>
      </c>
      <c r="K524">
        <f>+K159+K273+K299</f>
        <v>50111911200</v>
      </c>
      <c r="L524">
        <f>+L159+L273+L299</f>
        <v>13094618747</v>
      </c>
      <c r="M524">
        <f>+M159+M273+M299</f>
        <v>9987801937</v>
      </c>
      <c r="N524">
        <f>+N159+N273+N299</f>
        <v>7920311706.481482</v>
      </c>
      <c r="O524">
        <f>+O159+O273+O299</f>
        <v>9172340474</v>
      </c>
      <c r="P524">
        <f>+P159+P273+P299</f>
        <v>7066277620</v>
      </c>
      <c r="Q524">
        <f>+Q159+Q273+Q299</f>
        <v>10051487678.333332</v>
      </c>
      <c r="R524">
        <f>+R159+R273+R299</f>
        <v>10557436865</v>
      </c>
      <c r="S524">
        <f>+S159+S273+S299</f>
        <v>3401946484</v>
      </c>
      <c r="T524">
        <f>+T159+T273+T299</f>
        <v>107404749362.81482</v>
      </c>
    </row>
    <row r="526">
      <c r="B526" t="str">
        <v>Tình hình Tiền mặt Hiện tại (Sau khi chi)</v>
      </c>
      <c r="F526">
        <f>+F155-F524</f>
        <v>4920904666</v>
      </c>
      <c r="G526">
        <f>+G155-G524</f>
        <v>55838638.17684411</v>
      </c>
      <c r="H526">
        <f>+H155-H524</f>
        <v>81836997554</v>
      </c>
      <c r="I526">
        <f>+I155-I524</f>
        <v>680137583.7037034</v>
      </c>
      <c r="J526">
        <f>+J155-J524</f>
        <v>2780382537.7407393</v>
      </c>
      <c r="K526">
        <f>+K155-K524</f>
        <v>1264927210</v>
      </c>
      <c r="L526">
        <f>+L155-L524</f>
        <v>382498780</v>
      </c>
      <c r="M526">
        <f>+M155-M524</f>
        <v>1266453635</v>
      </c>
      <c r="N526">
        <f>+N155-N524</f>
        <v>3413915911.5185184</v>
      </c>
      <c r="O526">
        <f>+O155-O524</f>
        <v>2479076117.5185184</v>
      </c>
      <c r="P526">
        <f>+P155-P524</f>
        <v>1737775976.5185184</v>
      </c>
      <c r="Q526">
        <f>+Q155-Q524</f>
        <v>542819136.1851864</v>
      </c>
      <c r="R526">
        <f>+R155-R524</f>
        <v>1768715041.1851864</v>
      </c>
      <c r="S526">
        <f>+S155-S524</f>
        <v>5079900415.185186</v>
      </c>
      <c r="T526">
        <f>+T155-T524</f>
        <v>-45145183694.62963</v>
      </c>
    </row>
  </sheetData>
  <autoFilter ref="A160:AL1479"/>
  <mergeCells count="2">
    <mergeCell ref="A1:T1"/>
    <mergeCell ref="A11:T11"/>
  </mergeCells>
  <pageMargins left="0.7" right="0.7" top="0.75" bottom="0.75" header="0.3" footer="0.3"/>
  <ignoredErrors>
    <ignoredError numberStoredAsText="1" sqref="A1:AU1479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2:V290"/>
  <sheetViews>
    <sheetView workbookViewId="0" rightToLeft="0"/>
  </sheetViews>
  <sheetData>
    <row r="3">
      <c r="A3" t="str">
        <v>Tiền mặt đầu kỳ</v>
      </c>
      <c r="D3">
        <f>+SUM(D4:D7)</f>
        <v>545319137</v>
      </c>
      <c r="F3" t="str">
        <v>Tiền mặt Cuối kỳ</v>
      </c>
      <c r="I3">
        <f>+SUM(I4:I7)</f>
        <v>3759684547</v>
      </c>
      <c r="K3" t="str">
        <v>Tiền mặt đầu kỳ</v>
      </c>
      <c r="N3">
        <f>+SUM(N4:N7)</f>
        <v>545319137</v>
      </c>
      <c r="P3" t="str">
        <v>Tiền mặt Cuối kỳ</v>
      </c>
      <c r="S3">
        <f>+SUM(S4:S7)</f>
        <v>1783643541.9999998</v>
      </c>
    </row>
    <row r="4">
      <c r="A4" t="str">
        <v>ABBank</v>
      </c>
      <c r="B4">
        <v>1</v>
      </c>
      <c r="D4">
        <v>462875088</v>
      </c>
      <c r="F4" t="str">
        <v>ABBank</v>
      </c>
      <c r="G4">
        <v>1</v>
      </c>
      <c r="I4">
        <f>+$D4-SUMIF($G10:$G2157,"AB",$F10:$F2157)+SUMIF($G10:$G2157,"AB",$E10:$E2157)</f>
        <v>2737088832</v>
      </c>
      <c r="K4" t="str">
        <v>ABBank</v>
      </c>
      <c r="L4">
        <v>1</v>
      </c>
      <c r="N4">
        <v>462875088</v>
      </c>
      <c r="P4" t="str">
        <v>ABBank</v>
      </c>
      <c r="Q4">
        <v>1</v>
      </c>
      <c r="S4">
        <f>+$N4-SUMIF($G10:$G167,"AB",$F10:$F167)+SUMIF($G10:$G167,"AB",$E10:$E167)</f>
        <v>1697159405</v>
      </c>
      <c r="T4">
        <v>1697159405</v>
      </c>
      <c r="U4">
        <f>+T4-S4</f>
        <v>0</v>
      </c>
    </row>
    <row r="5">
      <c r="A5" t="str">
        <v>ViettinBack</v>
      </c>
      <c r="B5">
        <v>2</v>
      </c>
      <c r="D5">
        <v>45248758</v>
      </c>
      <c r="F5" t="str">
        <v>ViettinBack</v>
      </c>
      <c r="G5">
        <v>2</v>
      </c>
      <c r="I5">
        <f>+$D5-SUMIF($G10:$G2157,"VT",$F10:$F2157)+SUMIF($G10:$G2157,"VT",$E10:$E2157)</f>
        <v>1015317382.9999998</v>
      </c>
      <c r="K5" t="str">
        <v>ViettinBack</v>
      </c>
      <c r="L5">
        <v>2</v>
      </c>
      <c r="N5">
        <v>45248758</v>
      </c>
      <c r="P5" t="str">
        <v>ViettinBack</v>
      </c>
      <c r="Q5">
        <v>2</v>
      </c>
      <c r="S5">
        <f>+$N5-SUMIF($G10:$G167,"VT",$F10:$F167)+SUMIF($G10:$G167,"VT",$E10:$E167)</f>
        <v>17534889.99999976</v>
      </c>
    </row>
    <row r="6">
      <c r="A6" t="str">
        <v>Cá Nhân</v>
      </c>
      <c r="B6">
        <v>3</v>
      </c>
      <c r="D6">
        <v>37195291</v>
      </c>
      <c r="F6" t="str">
        <v>Cá Nhân</v>
      </c>
      <c r="G6">
        <v>3</v>
      </c>
      <c r="I6">
        <f>+$D6-SUMIF($G10:$G2157,"CN",$F10:$F2157)+SUMIF($G10:$G2157,"CN",$E10:$E2157)</f>
        <v>7278332</v>
      </c>
      <c r="K6" t="str">
        <v>Cá Nhân</v>
      </c>
      <c r="L6">
        <v>3</v>
      </c>
      <c r="N6">
        <f>34695291+2500000</f>
        <v>37195291</v>
      </c>
      <c r="P6" t="str">
        <v>Cá Nhân</v>
      </c>
      <c r="Q6">
        <v>3</v>
      </c>
      <c r="S6">
        <f>+$N6-SUMIF($G10:$G167,"CN",$F10:$F167)+SUMIF($G10:$G167,"CN",$E10:$E167)</f>
        <v>68949247</v>
      </c>
      <c r="T6">
        <v>68949247</v>
      </c>
      <c r="U6">
        <f>+T6-S6</f>
        <v>0</v>
      </c>
    </row>
    <row r="7">
      <c r="A7" t="str">
        <v>Tiền Mặt</v>
      </c>
      <c r="B7">
        <v>4</v>
      </c>
      <c r="D7">
        <v>0</v>
      </c>
      <c r="F7" t="str">
        <v>Tiền Mặt</v>
      </c>
      <c r="G7">
        <v>4</v>
      </c>
      <c r="I7">
        <f>+$D7-SUMIF($G10:$G2157,"TM",$F10:$F2157)+SUMIF($G10:$G2157,"TM",$E10:$E2157)</f>
        <v>0</v>
      </c>
      <c r="K7" t="str">
        <v>Tiền Mặt</v>
      </c>
      <c r="L7">
        <v>4</v>
      </c>
      <c r="N7">
        <v>0</v>
      </c>
      <c r="P7" t="str">
        <v>Tiền Mặt</v>
      </c>
      <c r="Q7">
        <v>4</v>
      </c>
      <c r="S7">
        <f>+$N7-SUMIF($G11:$G168,"TM",$F11:$F168)+SUMIF($G11:$G168,"TM",$E11:$E168)</f>
        <v>0</v>
      </c>
    </row>
    <row r="9">
      <c r="A9" t="str">
        <v>Ngày</v>
      </c>
      <c r="B9" t="str">
        <v>Tàu</v>
      </c>
      <c r="C9" t="str">
        <v>Hạng Mục</v>
      </c>
      <c r="D9" t="str">
        <v>Nội Dung</v>
      </c>
      <c r="E9" t="str">
        <v>Thu</v>
      </c>
      <c r="F9" t="str">
        <v>Chi</v>
      </c>
      <c r="G9" t="str">
        <v>Tài Khoản</v>
      </c>
      <c r="H9" t="str">
        <v>NCC</v>
      </c>
    </row>
    <row r="10">
      <c r="A10">
        <v>46026</v>
      </c>
      <c r="B10" t="str">
        <v>VG36</v>
      </c>
      <c r="C10" t="str">
        <v>4.Dầu DO</v>
      </c>
      <c r="D10" t="str">
        <v>Tạm ứng Cấp dầu VG36</v>
      </c>
      <c r="F10">
        <v>350000000</v>
      </c>
      <c r="G10" t="str">
        <v>AB</v>
      </c>
      <c r="U10">
        <v>1697159405</v>
      </c>
      <c r="V10">
        <f>+U10-S10</f>
        <v>1697159405</v>
      </c>
    </row>
    <row r="11">
      <c r="A11">
        <v>46026</v>
      </c>
      <c r="B11" t="str">
        <v>VG18</v>
      </c>
      <c r="C11" t="str">
        <v>1.Tàu Ứng</v>
      </c>
      <c r="D11" t="str">
        <v>Ứng tiền</v>
      </c>
      <c r="F11">
        <v>30000000</v>
      </c>
      <c r="G11" t="str">
        <v>CN</v>
      </c>
    </row>
    <row r="12">
      <c r="A12">
        <v>46026</v>
      </c>
      <c r="B12" t="str">
        <v>VG36</v>
      </c>
      <c r="C12" t="str">
        <v>CVC</v>
      </c>
      <c r="D12" t="str">
        <v>HD22 VG36 Quặng Vĩnh Xương - Hải Phòng</v>
      </c>
      <c r="E12">
        <v>300000000</v>
      </c>
      <c r="G12" t="str">
        <v>AB</v>
      </c>
      <c r="H12" t="str">
        <v>Ngọc Anh</v>
      </c>
    </row>
    <row r="13">
      <c r="A13">
        <v>46057</v>
      </c>
      <c r="B13" t="str">
        <v>VG18</v>
      </c>
      <c r="C13" t="str">
        <v>1.Tàu Ứng</v>
      </c>
      <c r="D13" t="str">
        <v>Ứng tiền</v>
      </c>
      <c r="F13">
        <v>20000000</v>
      </c>
      <c r="G13" t="str">
        <v>AB</v>
      </c>
    </row>
    <row r="14">
      <c r="A14">
        <v>46057</v>
      </c>
      <c r="B14" t="str">
        <v>VG15</v>
      </c>
      <c r="C14" t="str">
        <v>1.Tàu Ứng</v>
      </c>
      <c r="D14" t="str">
        <v>Ứng tiền</v>
      </c>
      <c r="F14">
        <v>10000000</v>
      </c>
      <c r="G14" t="str">
        <v>AB</v>
      </c>
    </row>
    <row r="15">
      <c r="A15">
        <v>46057</v>
      </c>
      <c r="B15" t="str">
        <v>VG36</v>
      </c>
      <c r="C15" t="str">
        <v>CVC</v>
      </c>
      <c r="D15" t="str">
        <v>HD22 VG36 Quặng Vĩnh Xương - Hải Phòng</v>
      </c>
      <c r="E15">
        <v>380730050</v>
      </c>
      <c r="G15" t="str">
        <v>AB</v>
      </c>
      <c r="H15" t="str">
        <v>Ngọc Anh</v>
      </c>
    </row>
    <row r="16">
      <c r="A16">
        <v>46085</v>
      </c>
      <c r="B16" t="str">
        <v>VG09</v>
      </c>
      <c r="C16" t="str">
        <v>9.Vật Tư</v>
      </c>
      <c r="D16" t="str">
        <v>Sơn HP</v>
      </c>
      <c r="F16">
        <v>21112488</v>
      </c>
      <c r="G16" t="str">
        <v>AB</v>
      </c>
    </row>
    <row r="17">
      <c r="A17">
        <v>46085</v>
      </c>
      <c r="B17" t="str">
        <v>VP</v>
      </c>
      <c r="C17" t="str">
        <v>Văn phòng</v>
      </c>
      <c r="D17" t="str">
        <v>Đối ứng in hải đồ</v>
      </c>
      <c r="E17">
        <v>7596000</v>
      </c>
      <c r="G17" t="str">
        <v>CN</v>
      </c>
    </row>
    <row r="18">
      <c r="A18">
        <v>46085</v>
      </c>
      <c r="B18" t="str">
        <v>VG18</v>
      </c>
      <c r="C18" t="str">
        <v>9.Vật Tư</v>
      </c>
      <c r="D18" t="str">
        <v>In hải đồ</v>
      </c>
      <c r="F18">
        <v>7776000</v>
      </c>
      <c r="G18" t="str">
        <v>AB</v>
      </c>
    </row>
    <row r="19">
      <c r="A19">
        <v>46085</v>
      </c>
      <c r="B19" t="str">
        <v>VG36</v>
      </c>
      <c r="C19" t="str">
        <v>CVC</v>
      </c>
      <c r="D19" t="str">
        <v>HD9 VG36 Clinker Hòn La - Hậu Giang</v>
      </c>
      <c r="E19">
        <v>200000000</v>
      </c>
      <c r="G19" t="str">
        <v>VT</v>
      </c>
    </row>
    <row r="20">
      <c r="A20">
        <v>46085</v>
      </c>
      <c r="B20" t="str">
        <v>VG09</v>
      </c>
      <c r="C20" t="str">
        <v>4.Dầu DO</v>
      </c>
      <c r="D20" t="str">
        <v>Cấp dầu VG09</v>
      </c>
      <c r="F20">
        <v>700000000</v>
      </c>
      <c r="G20" t="str">
        <v>AB</v>
      </c>
      <c r="H20" t="str">
        <v>PV Oil miền trung</v>
      </c>
    </row>
    <row r="21">
      <c r="A21">
        <v>46085</v>
      </c>
      <c r="B21" t="str">
        <v>VG09</v>
      </c>
      <c r="C21" t="str">
        <v>4.Dầu DO</v>
      </c>
      <c r="D21" t="str">
        <v>Cấp dầu VG09</v>
      </c>
      <c r="F21">
        <v>138962500</v>
      </c>
      <c r="G21" t="str">
        <v>VT</v>
      </c>
      <c r="H21" t="str">
        <v>PV Oil miền trung</v>
      </c>
    </row>
    <row r="22">
      <c r="A22">
        <v>46085</v>
      </c>
      <c r="B22" t="str">
        <v>VG15</v>
      </c>
      <c r="C22" t="str">
        <v>CVC</v>
      </c>
      <c r="D22" t="str">
        <v>HD23 VG15 Xỉ Sơn Dương - Hậu Giang</v>
      </c>
      <c r="E22">
        <v>500000000</v>
      </c>
      <c r="G22" t="str">
        <v>AB</v>
      </c>
      <c r="H22" t="str">
        <v>Ngọc Anh</v>
      </c>
    </row>
    <row r="23">
      <c r="A23">
        <v>46085</v>
      </c>
      <c r="B23" t="str">
        <v>VG05</v>
      </c>
      <c r="C23" t="str">
        <v>CVC</v>
      </c>
      <c r="D23" t="str">
        <v>HD25 VG05 Clinker Hòn La  - Cần Thơ</v>
      </c>
      <c r="E23">
        <f>200000000+267913200</f>
        <v>467913200</v>
      </c>
      <c r="G23" t="str">
        <v>AB</v>
      </c>
      <c r="H23" t="str">
        <v>Bình Minh</v>
      </c>
    </row>
    <row r="24">
      <c r="A24">
        <v>46085</v>
      </c>
      <c r="B24" t="str">
        <v>VG09</v>
      </c>
      <c r="C24" t="str">
        <v>1.Tàu Ứng</v>
      </c>
      <c r="D24" t="str">
        <v>Ứng tiền</v>
      </c>
      <c r="F24">
        <v>40000000</v>
      </c>
      <c r="G24" t="str">
        <v>AB</v>
      </c>
    </row>
    <row r="25">
      <c r="A25">
        <v>46085</v>
      </c>
      <c r="B25" t="str">
        <v>VG18</v>
      </c>
      <c r="C25" t="str">
        <v>Nhận Nợ NH</v>
      </c>
      <c r="D25" t="str">
        <v>Vay ngắn hạn ABBank</v>
      </c>
      <c r="E25">
        <v>1390134000</v>
      </c>
      <c r="G25" t="str">
        <v>AB</v>
      </c>
    </row>
    <row r="26">
      <c r="A26">
        <v>46085</v>
      </c>
      <c r="B26" t="str">
        <v>VG18</v>
      </c>
      <c r="C26" t="str">
        <v>4.Dầu DO</v>
      </c>
      <c r="D26" t="str">
        <v>Trả tiền dầu DO</v>
      </c>
      <c r="F26">
        <v>1390134000</v>
      </c>
      <c r="G26" t="str">
        <v>AB</v>
      </c>
    </row>
    <row r="27">
      <c r="A27">
        <v>46085</v>
      </c>
      <c r="B27" t="str">
        <v>VP</v>
      </c>
      <c r="C27" t="str">
        <v>Văn phòng</v>
      </c>
      <c r="D27" t="str">
        <v>Phí chuyển tiền</v>
      </c>
      <c r="F27">
        <v>764574</v>
      </c>
      <c r="G27" t="str">
        <v>AB</v>
      </c>
    </row>
    <row r="28">
      <c r="A28">
        <v>46085</v>
      </c>
      <c r="B28" t="str">
        <v>VG18</v>
      </c>
      <c r="C28" t="str">
        <v>2.Chi Phí Cảng</v>
      </c>
      <c r="D28" t="str">
        <v>Đại lý C5 tại Sơn Dương</v>
      </c>
      <c r="F28">
        <v>48961216</v>
      </c>
      <c r="G28" t="str">
        <v>AB</v>
      </c>
      <c r="H28" t="str">
        <v>Lê Phạm</v>
      </c>
    </row>
    <row r="29">
      <c r="A29">
        <v>46085</v>
      </c>
      <c r="B29" t="str">
        <v>VG36</v>
      </c>
      <c r="C29" t="str">
        <v>2.Chi Phí Cảng</v>
      </c>
      <c r="D29" t="str">
        <v>Đại lý C7 tại Gò Gia</v>
      </c>
      <c r="F29">
        <v>43325000</v>
      </c>
      <c r="G29" t="str">
        <v>AB</v>
      </c>
      <c r="H29" t="str">
        <v>Sunshine</v>
      </c>
    </row>
    <row r="30">
      <c r="A30">
        <v>46085</v>
      </c>
      <c r="B30" t="str">
        <v>VG18</v>
      </c>
      <c r="C30" t="str">
        <v>2.Chi Phí Cảng</v>
      </c>
      <c r="D30" t="str">
        <v>Đại lý C5 tại HCM</v>
      </c>
      <c r="F30">
        <v>42134000</v>
      </c>
      <c r="G30" t="str">
        <v>AB</v>
      </c>
      <c r="H30" t="str">
        <v>Sunshine</v>
      </c>
    </row>
    <row r="31">
      <c r="A31">
        <v>46085</v>
      </c>
      <c r="B31" t="str">
        <v>VG18</v>
      </c>
      <c r="C31" t="str">
        <v>2.Chi Phí Cảng</v>
      </c>
      <c r="D31" t="str">
        <v>Đại lý C6 tại Đồng Nai</v>
      </c>
      <c r="F31">
        <v>42652569</v>
      </c>
      <c r="G31" t="str">
        <v>AB</v>
      </c>
      <c r="H31" t="str">
        <v>Sunshine</v>
      </c>
    </row>
    <row r="32">
      <c r="A32">
        <v>46085</v>
      </c>
      <c r="B32" t="str">
        <v>VG05</v>
      </c>
      <c r="C32" t="str">
        <v>2.Chi Phí Cảng</v>
      </c>
      <c r="D32" t="str">
        <v>Đại lý C6 tại Vĩnh Xương</v>
      </c>
      <c r="F32">
        <v>9860490</v>
      </c>
      <c r="G32" t="str">
        <v>AB</v>
      </c>
      <c r="H32" t="str">
        <v>Sông Hậu</v>
      </c>
    </row>
    <row r="33">
      <c r="A33">
        <v>46085</v>
      </c>
      <c r="B33" t="str">
        <v>VG09</v>
      </c>
      <c r="C33" t="str">
        <v>2.Chi Phí Cảng</v>
      </c>
      <c r="D33" t="str">
        <v>Đại lý C6 tại Cần Thơ</v>
      </c>
      <c r="F33">
        <v>21699456</v>
      </c>
      <c r="G33" t="str">
        <v>AB</v>
      </c>
      <c r="H33" t="str">
        <v>Sông Hậu</v>
      </c>
    </row>
    <row r="34">
      <c r="A34">
        <v>46085</v>
      </c>
      <c r="B34" t="str">
        <v>VG05</v>
      </c>
      <c r="C34" t="str">
        <v>2.Chi Phí Cảng</v>
      </c>
      <c r="D34" t="str">
        <v>Đại lý C7 tại Quảng Ninh</v>
      </c>
      <c r="F34">
        <v>7331240</v>
      </c>
      <c r="G34" t="str">
        <v>AB</v>
      </c>
    </row>
    <row r="35">
      <c r="A35">
        <v>46085</v>
      </c>
      <c r="B35" t="str">
        <v>VG05</v>
      </c>
      <c r="C35" t="str">
        <v>2.Chi Phí Cảng</v>
      </c>
      <c r="D35" t="str">
        <v>Đại lý C7 tại Quảng Ninh phí ngoài</v>
      </c>
      <c r="F35">
        <v>4000000</v>
      </c>
      <c r="G35" t="str">
        <v>CN</v>
      </c>
    </row>
    <row r="36">
      <c r="A36">
        <v>46085</v>
      </c>
      <c r="B36" t="str">
        <v>VG05</v>
      </c>
      <c r="C36" t="str">
        <v>2.Chi Phí Cảng</v>
      </c>
      <c r="D36" t="str">
        <v>Đại lý C6 tại Hải Phòng</v>
      </c>
      <c r="F36">
        <v>8845900</v>
      </c>
      <c r="G36" t="str">
        <v>AB</v>
      </c>
      <c r="H36" t="str">
        <v>Quốc Tế Xanh</v>
      </c>
    </row>
    <row r="37">
      <c r="A37">
        <v>46085</v>
      </c>
      <c r="B37" t="str">
        <v>VG36</v>
      </c>
      <c r="C37" t="str">
        <v>2.Chi Phí Cảng</v>
      </c>
      <c r="D37" t="str">
        <v>Đại lý C5 tại Hải Phòng</v>
      </c>
      <c r="F37">
        <v>28954579</v>
      </c>
      <c r="G37" t="str">
        <v>AB</v>
      </c>
      <c r="H37" t="str">
        <v>Quốc Tế Xanh</v>
      </c>
    </row>
    <row r="38">
      <c r="A38">
        <v>46085</v>
      </c>
      <c r="B38" t="str">
        <v>VG18</v>
      </c>
      <c r="C38" t="str">
        <v>4.Dầu DO</v>
      </c>
      <c r="D38" t="str">
        <v>Vận Chuyển dầu</v>
      </c>
      <c r="F38">
        <v>7845000</v>
      </c>
      <c r="G38" t="str">
        <v>AB</v>
      </c>
    </row>
    <row r="39">
      <c r="A39">
        <v>46116</v>
      </c>
      <c r="B39" t="str">
        <v>VG36</v>
      </c>
      <c r="C39" t="str">
        <v>CVC</v>
      </c>
      <c r="D39" t="str">
        <v>HD9 VG36 Clinker Hòn La - Hậu Giang</v>
      </c>
      <c r="E39">
        <v>172049900</v>
      </c>
      <c r="G39" t="str">
        <v>VT</v>
      </c>
      <c r="H39" t="str">
        <v>Hoàng Quyên</v>
      </c>
    </row>
    <row r="40">
      <c r="A40">
        <v>46116</v>
      </c>
      <c r="B40" t="str">
        <v>VG05</v>
      </c>
      <c r="C40" t="str">
        <v>CVC</v>
      </c>
      <c r="D40" t="str">
        <v>HD11 VG05 Cát Vĩnh Xương - Đà Nẵng</v>
      </c>
      <c r="E40">
        <f>500000000-E39</f>
        <v>327950100</v>
      </c>
      <c r="G40" t="str">
        <v>VT</v>
      </c>
      <c r="H40" t="str">
        <v>Hoàng Quyên</v>
      </c>
    </row>
    <row r="41">
      <c r="A41">
        <v>46146</v>
      </c>
      <c r="B41" t="str">
        <v>VG09</v>
      </c>
      <c r="C41" t="str">
        <v>2.Chi Phí Cảng</v>
      </c>
      <c r="D41" t="str">
        <v>Tàu lai tại Đà Nẵng C7</v>
      </c>
      <c r="F41">
        <v>9979200</v>
      </c>
      <c r="G41" t="str">
        <v>AB</v>
      </c>
    </row>
    <row r="42">
      <c r="A42">
        <v>46146</v>
      </c>
      <c r="B42" t="str">
        <v>VG09</v>
      </c>
      <c r="C42" t="str">
        <v>2.Chi Phí Cảng</v>
      </c>
      <c r="D42" t="str">
        <v>Cầu bến tại Đà Nẵng C7</v>
      </c>
      <c r="F42">
        <v>5826506</v>
      </c>
      <c r="G42" t="str">
        <v>AB</v>
      </c>
    </row>
    <row r="43">
      <c r="A43">
        <v>46177</v>
      </c>
      <c r="B43" t="str">
        <v>VG36</v>
      </c>
      <c r="C43" t="str">
        <v>1.Tàu Ứng</v>
      </c>
      <c r="D43" t="str">
        <v>Ứng tiền</v>
      </c>
      <c r="F43">
        <v>20000000</v>
      </c>
      <c r="G43" t="str">
        <v>AB</v>
      </c>
    </row>
    <row r="44">
      <c r="A44">
        <v>46177</v>
      </c>
      <c r="B44" t="str">
        <v>VG09</v>
      </c>
      <c r="C44" t="str">
        <v>1.Tàu Ứng</v>
      </c>
      <c r="D44" t="str">
        <v>Ứng tiền</v>
      </c>
      <c r="F44">
        <v>20000000</v>
      </c>
      <c r="G44" t="str">
        <v>AB</v>
      </c>
    </row>
    <row r="45">
      <c r="A45">
        <v>46177</v>
      </c>
      <c r="B45" t="str">
        <v>VG05</v>
      </c>
      <c r="C45" t="str">
        <v>1.Tàu Ứng</v>
      </c>
      <c r="D45" t="str">
        <v>Ứng tiền</v>
      </c>
      <c r="F45">
        <v>30000000</v>
      </c>
      <c r="G45" t="str">
        <v>AB</v>
      </c>
    </row>
    <row r="46">
      <c r="A46">
        <v>46207</v>
      </c>
      <c r="B46" t="str">
        <v>VG18</v>
      </c>
      <c r="C46" t="str">
        <v>1.Tàu Ứng</v>
      </c>
      <c r="D46" t="str">
        <v>Ứng tiền</v>
      </c>
      <c r="F46">
        <v>40000000</v>
      </c>
      <c r="G46" t="str">
        <v>VT</v>
      </c>
    </row>
    <row r="47">
      <c r="A47">
        <v>46238</v>
      </c>
      <c r="B47" t="str">
        <v>VG18</v>
      </c>
      <c r="C47" t="str">
        <v>2.Chi Phí Cảng</v>
      </c>
      <c r="D47" t="str">
        <v>Cầu bến lai dắt C7 tại Hòn La</v>
      </c>
      <c r="F47">
        <v>22653032</v>
      </c>
      <c r="G47" t="str">
        <v>AB</v>
      </c>
    </row>
    <row r="48">
      <c r="A48">
        <v>46238</v>
      </c>
      <c r="B48" t="str">
        <v>VG18</v>
      </c>
      <c r="C48" t="str">
        <v>2.Chi Phí Cảng</v>
      </c>
      <c r="D48" t="str">
        <v>Hoa tiêu lai dắt C7 tại Hòn La</v>
      </c>
      <c r="F48">
        <v>4320000</v>
      </c>
      <c r="G48" t="str">
        <v>AB</v>
      </c>
    </row>
    <row r="49">
      <c r="A49">
        <v>46238</v>
      </c>
      <c r="B49" t="str">
        <v>VG15</v>
      </c>
      <c r="C49" t="str">
        <v>1.Tàu Ứng</v>
      </c>
      <c r="D49" t="str">
        <v>Ứng tiền</v>
      </c>
      <c r="F49">
        <v>30000000</v>
      </c>
      <c r="G49" t="str">
        <v>VT</v>
      </c>
    </row>
    <row r="50">
      <c r="A50">
        <v>46238</v>
      </c>
      <c r="B50" t="str">
        <v>VG15</v>
      </c>
      <c r="C50" t="str">
        <v>1.Tàu Ứng</v>
      </c>
      <c r="D50" t="str">
        <v>Ứng tiền</v>
      </c>
      <c r="F50">
        <v>10000000</v>
      </c>
      <c r="G50" t="str">
        <v>AB</v>
      </c>
    </row>
    <row r="51">
      <c r="A51">
        <v>46238</v>
      </c>
      <c r="B51" t="str">
        <v>VG05</v>
      </c>
      <c r="C51" t="str">
        <v>CVC</v>
      </c>
      <c r="D51" t="str">
        <v>Trả tiền gửi HD25 Thái Bình Dương</v>
      </c>
      <c r="F51">
        <v>55400000</v>
      </c>
      <c r="G51" t="str">
        <v>VT</v>
      </c>
    </row>
    <row r="52">
      <c r="A52">
        <v>46238</v>
      </c>
      <c r="B52" t="str">
        <v>VP</v>
      </c>
      <c r="C52" t="str">
        <v>Luân chuyển</v>
      </c>
      <c r="D52" t="str">
        <v>Luân chuyển tiền mặt</v>
      </c>
      <c r="F52">
        <v>14600000</v>
      </c>
      <c r="G52" t="str">
        <v>VT</v>
      </c>
    </row>
    <row r="53">
      <c r="A53">
        <v>46238</v>
      </c>
      <c r="B53" t="str">
        <v>VP</v>
      </c>
      <c r="C53" t="str">
        <v>Luân chuyển</v>
      </c>
      <c r="D53" t="str">
        <v>Luân chuyển tiền mặt</v>
      </c>
      <c r="E53">
        <v>14600000</v>
      </c>
      <c r="G53" t="str">
        <v>CN</v>
      </c>
    </row>
    <row r="54">
      <c r="A54">
        <v>46238</v>
      </c>
      <c r="B54" t="str">
        <v>VP</v>
      </c>
      <c r="C54" t="str">
        <v>Văn phòng</v>
      </c>
      <c r="D54" t="str">
        <v>Thăm viếng bố đối tác</v>
      </c>
      <c r="F54">
        <v>1000000</v>
      </c>
      <c r="G54" t="str">
        <v>CN</v>
      </c>
    </row>
    <row r="55">
      <c r="A55">
        <v>46269</v>
      </c>
      <c r="B55" t="str">
        <v>VG15</v>
      </c>
      <c r="C55" t="str">
        <v>CVC</v>
      </c>
      <c r="D55" t="str">
        <v>HD23 VG15 Xỉ Sơn Dương - Hậu Giang</v>
      </c>
      <c r="E55">
        <v>425628000</v>
      </c>
      <c r="G55" t="str">
        <v>AB</v>
      </c>
      <c r="H55" t="str">
        <v>Ngọc Anh</v>
      </c>
    </row>
    <row r="56">
      <c r="A56">
        <v>46269</v>
      </c>
      <c r="B56" t="str">
        <v>VG18</v>
      </c>
      <c r="C56" t="str">
        <v>CVC</v>
      </c>
      <c r="D56" t="str">
        <v>HD24 VG18 Cliker Hòn La - Hậu Giang</v>
      </c>
      <c r="E56">
        <f>980000000-E55</f>
        <v>554372000</v>
      </c>
      <c r="G56" t="str">
        <v>AB</v>
      </c>
      <c r="H56" t="str">
        <v>Ngọc Anh</v>
      </c>
    </row>
    <row r="57">
      <c r="A57">
        <v>46269</v>
      </c>
      <c r="B57" t="str">
        <v>VG18</v>
      </c>
      <c r="C57" t="str">
        <v>2.Chi Phí Cảng</v>
      </c>
      <c r="D57" t="str">
        <v>Phí ngoài Quảng Ninh</v>
      </c>
      <c r="F57">
        <v>11000000</v>
      </c>
      <c r="G57" t="str">
        <v>CN</v>
      </c>
    </row>
    <row r="58">
      <c r="A58">
        <v>46269</v>
      </c>
      <c r="B58" t="str">
        <v>VP</v>
      </c>
      <c r="C58" t="str">
        <v>Văn phòng</v>
      </c>
      <c r="D58" t="str">
        <v>Cước điện thoại</v>
      </c>
      <c r="F58">
        <v>776044</v>
      </c>
      <c r="G58" t="str">
        <v>CN</v>
      </c>
    </row>
    <row r="59">
      <c r="A59">
        <v>46299</v>
      </c>
      <c r="B59" t="str">
        <v>VG15</v>
      </c>
      <c r="C59" t="str">
        <v>4.Dầu DO</v>
      </c>
      <c r="D59" t="str">
        <v>Cấp dầu VG15 tại Đà Nẵng</v>
      </c>
      <c r="F59">
        <f>499000000+496392000</f>
        <v>995392000</v>
      </c>
      <c r="G59" t="str">
        <v>AB</v>
      </c>
    </row>
    <row r="60">
      <c r="A60">
        <v>46299</v>
      </c>
      <c r="B60" t="str">
        <v>VG15</v>
      </c>
      <c r="C60" t="str">
        <v>4.Dầu DO</v>
      </c>
      <c r="D60" t="str">
        <v>Vận chuyển dầu VG15 tại Đà Nẵng</v>
      </c>
      <c r="F60">
        <v>18120000</v>
      </c>
      <c r="G60" t="str">
        <v>AB</v>
      </c>
    </row>
    <row r="61">
      <c r="A61">
        <v>46299</v>
      </c>
      <c r="B61" t="str">
        <v>VG18</v>
      </c>
      <c r="C61" t="str">
        <v>2.Chi Phí Cảng</v>
      </c>
      <c r="D61" t="str">
        <v>Đại lý C7 Tại Quảng Ninh</v>
      </c>
      <c r="F61">
        <v>64699340</v>
      </c>
      <c r="G61" t="str">
        <v>AB</v>
      </c>
      <c r="H61" t="str">
        <v>Hoàng Đăng</v>
      </c>
    </row>
    <row r="62">
      <c r="A62">
        <v>46299</v>
      </c>
      <c r="B62" t="str">
        <v>VG18</v>
      </c>
      <c r="C62" t="str">
        <v>5.Dầu LO</v>
      </c>
      <c r="D62" t="str">
        <v>Cấp LO ngày 3/3</v>
      </c>
      <c r="F62">
        <v>54000000</v>
      </c>
      <c r="G62" t="str">
        <v>AB</v>
      </c>
      <c r="H62" t="str">
        <v>Alberta</v>
      </c>
    </row>
    <row r="63">
      <c r="A63">
        <v>46299</v>
      </c>
      <c r="B63" t="str">
        <v>VP</v>
      </c>
      <c r="C63" t="str">
        <v>Văn phòng</v>
      </c>
      <c r="D63" t="str">
        <v>SMS duy tri TK</v>
      </c>
      <c r="F63">
        <v>165000</v>
      </c>
      <c r="G63" t="str">
        <v>AB</v>
      </c>
    </row>
    <row r="64">
      <c r="A64">
        <v>46299</v>
      </c>
      <c r="B64" t="str">
        <v>VG36</v>
      </c>
      <c r="C64" t="str">
        <v>2.Chi Phí Cảng</v>
      </c>
      <c r="D64" t="str">
        <v>Hoa tiêu Sài Gòn C6 tại Đồng Nai</v>
      </c>
      <c r="F64">
        <v>5263110</v>
      </c>
      <c r="G64" t="str">
        <v>AB</v>
      </c>
    </row>
    <row r="65">
      <c r="A65">
        <v>46299</v>
      </c>
      <c r="B65" t="str">
        <v>VG05</v>
      </c>
      <c r="C65" t="str">
        <v>2.Chi Phí Cảng</v>
      </c>
      <c r="D65" t="str">
        <v>Đại lý C8 tại Sơn Dương</v>
      </c>
      <c r="F65">
        <v>41024305</v>
      </c>
      <c r="G65" t="str">
        <v>AB</v>
      </c>
      <c r="H65" t="str">
        <v>Lê Phạm</v>
      </c>
    </row>
    <row r="66">
      <c r="A66">
        <v>46299</v>
      </c>
      <c r="B66" t="str">
        <v>VG09</v>
      </c>
      <c r="C66" t="str">
        <v>2.Chi Phí Cảng</v>
      </c>
      <c r="D66" t="str">
        <v>Đại lý C7 tại Vĩnh Xương</v>
      </c>
      <c r="F66">
        <v>56448916</v>
      </c>
      <c r="G66" t="str">
        <v>AB</v>
      </c>
      <c r="H66" t="str">
        <v>Sông Hậu</v>
      </c>
    </row>
    <row r="67">
      <c r="A67">
        <v>46299</v>
      </c>
      <c r="B67" t="str">
        <v>VG15</v>
      </c>
      <c r="C67" t="str">
        <v>2.Chi Phí Cảng</v>
      </c>
      <c r="D67" t="str">
        <v>Tàu Lai C8 tại Đà Nẵng</v>
      </c>
      <c r="F67">
        <v>9979200</v>
      </c>
      <c r="G67" t="str">
        <v>AB</v>
      </c>
    </row>
    <row r="68">
      <c r="A68">
        <v>46299</v>
      </c>
      <c r="B68" t="str">
        <v>VG15</v>
      </c>
      <c r="C68" t="str">
        <v>2.Chi Phí Cảng</v>
      </c>
      <c r="D68" t="str">
        <v>Cầu bến C8 tại Đà Nẵng</v>
      </c>
      <c r="F68">
        <v>6079754</v>
      </c>
      <c r="G68" t="str">
        <v>AB</v>
      </c>
    </row>
    <row r="69">
      <c r="A69">
        <v>46299</v>
      </c>
      <c r="B69" t="str">
        <v>VG18</v>
      </c>
      <c r="C69" t="str">
        <v>1.Tàu Ứng</v>
      </c>
      <c r="D69" t="str">
        <v>Ứng tiền</v>
      </c>
      <c r="F69">
        <v>10000000</v>
      </c>
      <c r="G69" t="str">
        <v>CN</v>
      </c>
    </row>
    <row r="70">
      <c r="A70">
        <v>46299</v>
      </c>
      <c r="B70" t="str">
        <v>VG18</v>
      </c>
      <c r="C70" t="str">
        <v>CVC</v>
      </c>
      <c r="D70" t="str">
        <v>HD24 VG18 Cliker Hòn La - Hậu Giang</v>
      </c>
      <c r="E70">
        <f>490000000+450434250</f>
        <v>940434250</v>
      </c>
      <c r="G70" t="str">
        <v>AB</v>
      </c>
      <c r="H70" t="str">
        <v>Ngọc Anh</v>
      </c>
    </row>
    <row r="71">
      <c r="A71">
        <v>46299</v>
      </c>
      <c r="B71" t="str">
        <v>VG18</v>
      </c>
      <c r="C71" t="str">
        <v>CVC</v>
      </c>
      <c r="D71" t="str">
        <v>HD28 VG18 Xỉ Sơn Dương - HCM</v>
      </c>
      <c r="E71">
        <f>494594250-450434250+499000000</f>
        <v>543160000</v>
      </c>
      <c r="G71" t="str">
        <v>AB</v>
      </c>
      <c r="H71" t="str">
        <v>Ngọc Anh</v>
      </c>
    </row>
    <row r="72">
      <c r="A72">
        <v>46299</v>
      </c>
      <c r="B72" t="str">
        <v>VG05</v>
      </c>
      <c r="C72" t="str">
        <v>6.Lãi Vay</v>
      </c>
      <c r="D72" t="str">
        <v>Lãi vay ngắn hạn AB</v>
      </c>
      <c r="F72">
        <v>12454276.89708284</v>
      </c>
      <c r="G72" t="str">
        <v>AB</v>
      </c>
    </row>
    <row r="73">
      <c r="A73">
        <v>46299</v>
      </c>
      <c r="B73" t="str">
        <v>VG09</v>
      </c>
      <c r="C73" t="str">
        <v>6.Lãi Vay</v>
      </c>
      <c r="D73" t="str">
        <v>Lãi vay ngắn hạn AB</v>
      </c>
      <c r="F73">
        <v>3492355.6398366913</v>
      </c>
      <c r="G73" t="str">
        <v>AB</v>
      </c>
    </row>
    <row r="74">
      <c r="A74">
        <v>46299</v>
      </c>
      <c r="B74" t="str">
        <v>VG15</v>
      </c>
      <c r="C74" t="str">
        <v>6.Lãi Vay</v>
      </c>
      <c r="D74" t="str">
        <v>Lãi vay ngắn hạn AB</v>
      </c>
      <c r="F74">
        <v>6726975.84687845</v>
      </c>
      <c r="G74" t="str">
        <v>AB</v>
      </c>
    </row>
    <row r="75">
      <c r="A75">
        <v>46299</v>
      </c>
      <c r="B75" t="str">
        <v>VG18</v>
      </c>
      <c r="C75" t="str">
        <v>6.Lãi Vay</v>
      </c>
      <c r="D75" t="str">
        <v>Lãi vay ngắn hạn AB</v>
      </c>
      <c r="F75">
        <v>14983480.26313548</v>
      </c>
      <c r="G75" t="str">
        <v>AB</v>
      </c>
    </row>
    <row r="76">
      <c r="A76">
        <v>46299</v>
      </c>
      <c r="B76" t="str">
        <v>VG36</v>
      </c>
      <c r="C76" t="str">
        <v>6.Lãi Vay</v>
      </c>
      <c r="D76" t="str">
        <v>Lãi vay ngắn hạn AB</v>
      </c>
      <c r="F76">
        <v>6190783.3530665375</v>
      </c>
      <c r="G76" t="str">
        <v>AB</v>
      </c>
    </row>
    <row r="77">
      <c r="A77">
        <v>46330</v>
      </c>
      <c r="B77" t="str">
        <v>VG18</v>
      </c>
      <c r="C77" t="str">
        <v>CVC</v>
      </c>
      <c r="D77" t="str">
        <v>HD28 VG18 Xỉ Sơn Dương - HCM</v>
      </c>
      <c r="E77">
        <v>450000000</v>
      </c>
      <c r="G77" t="str">
        <v>AB</v>
      </c>
      <c r="H77" t="str">
        <v>Ngọc Anh</v>
      </c>
    </row>
    <row r="78">
      <c r="A78">
        <v>46330</v>
      </c>
      <c r="B78" t="str">
        <v>VG36</v>
      </c>
      <c r="C78" t="str">
        <v>1.Tàu Ứng</v>
      </c>
      <c r="D78" t="str">
        <v>Ứng tiền</v>
      </c>
      <c r="F78">
        <v>20000000</v>
      </c>
      <c r="G78" t="str">
        <v>AB</v>
      </c>
    </row>
    <row r="79">
      <c r="A79" t="str">
        <v>13/4/2026</v>
      </c>
      <c r="B79" t="str">
        <v>VP</v>
      </c>
      <c r="C79" t="str">
        <v>Văn phòng</v>
      </c>
      <c r="D79" t="str">
        <v>Cước phí bưu điện</v>
      </c>
      <c r="F79">
        <v>20000</v>
      </c>
      <c r="G79" t="str">
        <v>AB</v>
      </c>
    </row>
    <row r="80">
      <c r="A80" t="str">
        <v>13/4/2026</v>
      </c>
      <c r="B80" t="str">
        <v>VG05</v>
      </c>
      <c r="C80" t="str">
        <v>4.Dầu DO</v>
      </c>
      <c r="D80" t="str">
        <v>Cấp dầu DO tại Đà Nẵng</v>
      </c>
      <c r="F80">
        <v>644368000</v>
      </c>
      <c r="G80" t="str">
        <v>AB</v>
      </c>
    </row>
    <row r="81">
      <c r="A81" t="str">
        <v>13/4/2026</v>
      </c>
      <c r="B81" t="str">
        <v>VG36</v>
      </c>
      <c r="C81" t="str">
        <v>4.Dầu DO</v>
      </c>
      <c r="D81" t="str">
        <v>Tra đủ  đơn dầu cấp 1/4</v>
      </c>
      <c r="F81">
        <v>367044800</v>
      </c>
      <c r="G81" t="str">
        <v>AB</v>
      </c>
    </row>
    <row r="82">
      <c r="A82" t="str">
        <v>13/4/2026</v>
      </c>
      <c r="B82" t="str">
        <v>VG36</v>
      </c>
      <c r="C82" t="str">
        <v>2.Chi Phí Cảng</v>
      </c>
      <c r="D82" t="str">
        <v>Tàu lai C9 Tại Vĩnh Hưng</v>
      </c>
      <c r="F82">
        <v>8640000</v>
      </c>
      <c r="G82" t="str">
        <v>AB</v>
      </c>
    </row>
    <row r="83">
      <c r="A83" t="str">
        <v>13/4/2026</v>
      </c>
      <c r="B83" t="str">
        <v>VG36</v>
      </c>
      <c r="C83" t="str">
        <v>2.Chi Phí Cảng</v>
      </c>
      <c r="D83" t="str">
        <v>Cầu bến C9 Tại Vĩnh Hưng</v>
      </c>
      <c r="F83">
        <v>5749189</v>
      </c>
      <c r="G83" t="str">
        <v>AB</v>
      </c>
    </row>
    <row r="84">
      <c r="A84" t="str">
        <v>13/4/2026</v>
      </c>
      <c r="B84" t="str">
        <v>VG09</v>
      </c>
      <c r="C84" t="str">
        <v>1.Tàu Ứng</v>
      </c>
      <c r="D84" t="str">
        <v>Ứng tiền</v>
      </c>
      <c r="F84">
        <v>20000000</v>
      </c>
      <c r="G84" t="str">
        <v>AB</v>
      </c>
    </row>
    <row r="85">
      <c r="A85" t="str">
        <v>13/4/2026</v>
      </c>
      <c r="B85" t="str">
        <v>VG05</v>
      </c>
      <c r="C85" t="str">
        <v>1.Tàu Ứng</v>
      </c>
      <c r="D85" t="str">
        <v>Ứng tiền</v>
      </c>
      <c r="F85">
        <v>30000000</v>
      </c>
      <c r="G85" t="str">
        <v>AB</v>
      </c>
    </row>
    <row r="86">
      <c r="A86" t="str">
        <v>13/4/2026</v>
      </c>
      <c r="B86" t="str">
        <v>VP</v>
      </c>
      <c r="C86" t="str">
        <v>Luân chuyển</v>
      </c>
      <c r="D86" t="str">
        <v>Nhận tiền mặt bà</v>
      </c>
      <c r="E86">
        <v>8900000</v>
      </c>
      <c r="G86" t="str">
        <v>CN</v>
      </c>
    </row>
    <row r="87">
      <c r="A87" t="str">
        <v>13/4/2026</v>
      </c>
      <c r="B87" t="str">
        <v>VG18</v>
      </c>
      <c r="C87" t="str">
        <v>9.Vật Tư</v>
      </c>
      <c r="D87" t="str">
        <v>Vĩnh công tác Hòn La mua đồ</v>
      </c>
      <c r="F87">
        <v>8900000</v>
      </c>
      <c r="G87" t="str">
        <v>CN</v>
      </c>
    </row>
    <row r="88">
      <c r="A88" t="str">
        <v>14/4/2026</v>
      </c>
      <c r="B88" t="str">
        <v>VP</v>
      </c>
      <c r="C88" t="str">
        <v>Văn phòng</v>
      </c>
      <c r="D88" t="str">
        <v>Phí BDSD</v>
      </c>
      <c r="F88">
        <v>150000</v>
      </c>
      <c r="G88" t="str">
        <v>VT</v>
      </c>
    </row>
    <row r="89">
      <c r="A89" t="str">
        <v>14/4/2026</v>
      </c>
      <c r="B89" t="str">
        <v>VG09</v>
      </c>
      <c r="C89" t="str">
        <v>9.Vật Tư</v>
      </c>
      <c r="D89" t="str">
        <v>Đồ máy 24 + vật tư 3/4</v>
      </c>
      <c r="F89">
        <v>4841000</v>
      </c>
      <c r="G89" t="str">
        <v>CN</v>
      </c>
    </row>
    <row r="90">
      <c r="A90" t="str">
        <v>14/4/2026</v>
      </c>
      <c r="B90" t="str">
        <v>VG18</v>
      </c>
      <c r="C90" t="str">
        <v>Nhận Nợ NH</v>
      </c>
      <c r="D90" t="str">
        <v>Trả gốc ngắn hạn</v>
      </c>
      <c r="F90">
        <f>540639000+527308</f>
        <v>541166308</v>
      </c>
      <c r="G90" t="str">
        <v>AB</v>
      </c>
    </row>
    <row r="91">
      <c r="A91" t="str">
        <v>15/4/2026</v>
      </c>
      <c r="B91" t="str">
        <v>VG18</v>
      </c>
      <c r="C91" t="str">
        <v>CVC</v>
      </c>
      <c r="D91" t="str">
        <v>HD28 VG18 Xỉ Sơn Dương - HCM</v>
      </c>
      <c r="E91">
        <f>448610750+357840000</f>
        <v>806450750</v>
      </c>
      <c r="G91" t="str">
        <v>AB</v>
      </c>
      <c r="H91" t="str">
        <v>Ngọc Anh</v>
      </c>
    </row>
    <row r="92">
      <c r="A92" t="str">
        <v>15/4/2026</v>
      </c>
      <c r="B92" t="str">
        <v>VG09</v>
      </c>
      <c r="C92" t="str">
        <v>CVC</v>
      </c>
      <c r="D92" t="str">
        <v>HD29 VG09 Xỉ Sơn Dương - XM Tây Đô</v>
      </c>
      <c r="E92">
        <f>400000000-357840000+448610750</f>
        <v>490770750</v>
      </c>
      <c r="G92" t="str">
        <v>AB</v>
      </c>
      <c r="H92" t="str">
        <v>Ngọc Anh</v>
      </c>
    </row>
    <row r="93">
      <c r="A93" t="str">
        <v>15/4/2026</v>
      </c>
      <c r="B93" t="str">
        <v>VG05</v>
      </c>
      <c r="C93" t="str">
        <v>2.Chi Phí Cảng</v>
      </c>
      <c r="D93" t="str">
        <v>Phí cầu bến C9 tại Đà Nẵng</v>
      </c>
      <c r="F93">
        <v>5554508</v>
      </c>
      <c r="G93" t="str">
        <v>AB</v>
      </c>
    </row>
    <row r="94">
      <c r="A94" t="str">
        <v>16/4/2026</v>
      </c>
      <c r="B94" t="str">
        <v>VG18</v>
      </c>
      <c r="C94" t="str">
        <v>9.Vật Tư</v>
      </c>
      <c r="D94" t="str">
        <v>Thép thanh châu</v>
      </c>
      <c r="F94">
        <v>12078807</v>
      </c>
      <c r="G94" t="str">
        <v>AB</v>
      </c>
    </row>
    <row r="95">
      <c r="A95" t="str">
        <v>16/4/2026</v>
      </c>
      <c r="B95" t="str">
        <v>VG36</v>
      </c>
      <c r="C95" t="str">
        <v>3.Lương</v>
      </c>
      <c r="D95" t="str">
        <v>Trả tiền vé máy bay</v>
      </c>
      <c r="F95">
        <v>6178400</v>
      </c>
      <c r="G95" t="str">
        <v>AB</v>
      </c>
    </row>
    <row r="96">
      <c r="A96" t="str">
        <v>16/4/2026</v>
      </c>
      <c r="B96" t="str">
        <v>VG36</v>
      </c>
      <c r="C96" t="str">
        <v>2.Chi Phí Cảng</v>
      </c>
      <c r="D96" t="str">
        <v>Hoa tiêu C9 tại Vĩnh Hưng</v>
      </c>
      <c r="F96">
        <v>4622125</v>
      </c>
      <c r="G96" t="str">
        <v>AB</v>
      </c>
    </row>
    <row r="97">
      <c r="A97" t="str">
        <v>16/4/2026</v>
      </c>
      <c r="B97" t="str">
        <v>VG18</v>
      </c>
      <c r="C97" t="str">
        <v>9.Vật Tư</v>
      </c>
      <c r="D97" t="str">
        <v>Dây buộc tàu</v>
      </c>
      <c r="F97">
        <v>32253750</v>
      </c>
      <c r="G97" t="str">
        <v>AB</v>
      </c>
    </row>
    <row r="98">
      <c r="A98" t="str">
        <v>16/4/2026</v>
      </c>
      <c r="B98" t="str">
        <v>VG05</v>
      </c>
      <c r="C98" t="str">
        <v>2.Chi Phí Cảng</v>
      </c>
      <c r="D98" t="str">
        <v>Đại lý C8 tại Hậu Giang</v>
      </c>
      <c r="F98">
        <v>10292000</v>
      </c>
      <c r="G98" t="str">
        <v>AB</v>
      </c>
      <c r="H98" t="str">
        <v>Sông Hậu</v>
      </c>
    </row>
    <row r="99">
      <c r="A99" t="str">
        <v>16/4/2026</v>
      </c>
      <c r="B99" t="str">
        <v>VG05</v>
      </c>
      <c r="C99" t="str">
        <v>2.Chi Phí Cảng</v>
      </c>
      <c r="D99" t="str">
        <v>Đại lý C9 tại Vĩnh Xương</v>
      </c>
      <c r="F99">
        <v>7000000</v>
      </c>
      <c r="G99" t="str">
        <v>AB</v>
      </c>
      <c r="H99" t="str">
        <v>Sông Hậu</v>
      </c>
    </row>
    <row r="100">
      <c r="A100" t="str">
        <v>16/4/2026</v>
      </c>
      <c r="B100" t="str">
        <v>VG15</v>
      </c>
      <c r="C100" t="str">
        <v>2.Chi Phí Cảng</v>
      </c>
      <c r="D100" t="str">
        <v>Đại lý C7 tại Cần Thơ</v>
      </c>
      <c r="F100">
        <v>37347000</v>
      </c>
      <c r="G100" t="str">
        <v>AB</v>
      </c>
      <c r="H100" t="str">
        <v>Sông Hậu</v>
      </c>
    </row>
    <row r="101">
      <c r="A101" t="str">
        <v>16/4/2026</v>
      </c>
      <c r="B101" t="str">
        <v>VG15</v>
      </c>
      <c r="C101" t="str">
        <v>2.Chi Phí Cảng</v>
      </c>
      <c r="D101" t="str">
        <v>Đại lý C8 tại VĨnh Xương</v>
      </c>
      <c r="F101">
        <v>54488023</v>
      </c>
      <c r="G101" t="str">
        <v>AB</v>
      </c>
      <c r="H101" t="str">
        <v>Sông Hậu</v>
      </c>
      <c r="I101">
        <f>109127023-SUM(F98:F100)</f>
        <v>54488023</v>
      </c>
    </row>
    <row r="102">
      <c r="A102" t="str">
        <v>16/4/2026</v>
      </c>
      <c r="B102" t="str">
        <v>VG18</v>
      </c>
      <c r="C102" t="str">
        <v>2.Chi Phí Cảng</v>
      </c>
      <c r="D102" t="str">
        <v>Đại lý C6 tại Hải Phòng</v>
      </c>
      <c r="F102">
        <v>37297152</v>
      </c>
      <c r="G102" t="str">
        <v>AB</v>
      </c>
      <c r="H102" t="str">
        <v>Quốc Tế Xanh</v>
      </c>
    </row>
    <row r="103">
      <c r="A103" t="str">
        <v>16/4/2026</v>
      </c>
      <c r="B103" t="str">
        <v>VG05</v>
      </c>
      <c r="C103" t="str">
        <v>CVC</v>
      </c>
      <c r="D103" t="str">
        <v>HD11 VG05 Cát Vĩnh Xương - Đà Nẵng</v>
      </c>
      <c r="E103">
        <v>168228900</v>
      </c>
      <c r="G103" t="str">
        <v>VT</v>
      </c>
      <c r="H103" t="str">
        <v>Hoàng Quyên</v>
      </c>
    </row>
    <row r="104">
      <c r="A104" t="str">
        <v>16/4/2026</v>
      </c>
      <c r="B104" t="str">
        <v>VG05</v>
      </c>
      <c r="C104" t="str">
        <v>CVC</v>
      </c>
      <c r="D104" t="str">
        <v>HD20 VG05 Cát Vĩnh Xương - Đà Nẵng</v>
      </c>
      <c r="E104">
        <v>534733650</v>
      </c>
      <c r="G104" t="str">
        <v>VT</v>
      </c>
      <c r="H104" t="str">
        <v>Hoàng Quyên</v>
      </c>
    </row>
    <row r="105">
      <c r="A105" t="str">
        <v>16/4/2026</v>
      </c>
      <c r="B105" t="str">
        <v>VG09</v>
      </c>
      <c r="C105" t="str">
        <v>CVC</v>
      </c>
      <c r="D105" t="str">
        <v>HD26 VG09 Cát Vĩnh Xương - Đà Nẵng</v>
      </c>
      <c r="E105">
        <f>1000000000-534733650-168228900</f>
        <v>297037450</v>
      </c>
      <c r="G105" t="str">
        <v>VT</v>
      </c>
      <c r="H105" t="str">
        <v>Hoàng Quyên</v>
      </c>
    </row>
    <row r="106">
      <c r="A106" t="str">
        <v>16/4/2026</v>
      </c>
      <c r="B106" t="str">
        <v>VG09</v>
      </c>
      <c r="C106" t="str">
        <v>CVC</v>
      </c>
      <c r="D106" t="str">
        <v>HD50 VG09 Cát Vĩnh Xương - Huy Văn</v>
      </c>
      <c r="E106">
        <v>50000000</v>
      </c>
      <c r="G106" t="str">
        <v>AB</v>
      </c>
      <c r="H106" t="str">
        <v>Bình Minh</v>
      </c>
    </row>
    <row r="107">
      <c r="A107" t="str">
        <v>17/4/2026</v>
      </c>
      <c r="B107" t="str">
        <v>VG15</v>
      </c>
      <c r="C107" t="str">
        <v>1.Tàu Ứng</v>
      </c>
      <c r="D107" t="str">
        <v>Ứng tiền</v>
      </c>
      <c r="F107">
        <v>20000000</v>
      </c>
      <c r="G107" t="str">
        <v>AB</v>
      </c>
    </row>
    <row r="108">
      <c r="A108" t="str">
        <v>17/4/2026</v>
      </c>
      <c r="B108" t="str">
        <v>VG18</v>
      </c>
      <c r="C108" t="str">
        <v>1.Tàu Ứng</v>
      </c>
      <c r="D108" t="str">
        <v>Ứng tiền</v>
      </c>
      <c r="F108">
        <v>30000000</v>
      </c>
      <c r="G108" t="str">
        <v>AB</v>
      </c>
    </row>
    <row r="109">
      <c r="A109" t="str">
        <v>17/4/2026</v>
      </c>
      <c r="B109" t="str">
        <v>VGnew</v>
      </c>
      <c r="D109" t="str">
        <v>Chuyển tiền thiết kế</v>
      </c>
      <c r="F109">
        <v>100000000</v>
      </c>
      <c r="G109" t="str">
        <v>AB</v>
      </c>
      <c r="H109" t="str">
        <v>Công ty Đại Dương</v>
      </c>
    </row>
    <row r="110">
      <c r="A110" t="str">
        <v>18/4/2026</v>
      </c>
      <c r="B110" t="str">
        <v>VG36</v>
      </c>
      <c r="C110" t="str">
        <v>1.Tàu Ứng</v>
      </c>
      <c r="D110" t="str">
        <v>Ứng tiền</v>
      </c>
      <c r="F110">
        <v>30000000</v>
      </c>
      <c r="G110" t="str">
        <v>VT</v>
      </c>
    </row>
    <row r="111">
      <c r="A111" t="str">
        <v>20/4/2026</v>
      </c>
      <c r="B111" t="str">
        <v>VG18</v>
      </c>
      <c r="C111" t="str">
        <v>7.Bảo Hiểm</v>
      </c>
      <c r="D111" t="str">
        <v>Bảo hiểm tàu kỳ 2</v>
      </c>
      <c r="F111">
        <v>139122500</v>
      </c>
      <c r="G111" t="str">
        <v>AB</v>
      </c>
    </row>
    <row r="112">
      <c r="A112" t="str">
        <v>20/4/2026</v>
      </c>
      <c r="B112" t="str">
        <v>VG09</v>
      </c>
      <c r="C112" t="str">
        <v>1.Tàu Ứng</v>
      </c>
      <c r="D112" t="str">
        <v>Ứng tiền</v>
      </c>
      <c r="F112">
        <v>30000000</v>
      </c>
      <c r="G112" t="str">
        <v>AB</v>
      </c>
    </row>
    <row r="113">
      <c r="A113" t="str">
        <v>20/4/2026</v>
      </c>
      <c r="B113" t="str">
        <v>VG05</v>
      </c>
      <c r="C113" t="str">
        <v>1.Tàu Ứng</v>
      </c>
      <c r="D113" t="str">
        <v>Ứng tiền</v>
      </c>
      <c r="F113">
        <v>30000000</v>
      </c>
      <c r="G113" t="str">
        <v>AB</v>
      </c>
    </row>
    <row r="114">
      <c r="A114" t="str">
        <v>20/4/2026</v>
      </c>
      <c r="B114" t="str">
        <v>VG18</v>
      </c>
      <c r="C114" t="str">
        <v>Nhận Nợ NH</v>
      </c>
      <c r="D114" t="str">
        <v>Trả gốc trung hạn</v>
      </c>
      <c r="F114">
        <v>803265000</v>
      </c>
      <c r="G114" t="str">
        <v>AB</v>
      </c>
    </row>
    <row r="115">
      <c r="A115" t="str">
        <v>20/4/2026</v>
      </c>
      <c r="B115" t="str">
        <v>VG18</v>
      </c>
      <c r="C115" t="str">
        <v>Nhận Nợ NH</v>
      </c>
      <c r="D115" t="str">
        <v>Trả lãi trung hạn</v>
      </c>
      <c r="F115">
        <v>261987302</v>
      </c>
      <c r="G115" t="str">
        <v>AB</v>
      </c>
    </row>
    <row r="116">
      <c r="A116" t="str">
        <v>22/4/2026</v>
      </c>
      <c r="B116" t="str">
        <v>VG15</v>
      </c>
      <c r="C116" t="str">
        <v>1.Tàu Ứng</v>
      </c>
      <c r="D116" t="str">
        <v>Ứng tiền</v>
      </c>
      <c r="F116">
        <v>20000000</v>
      </c>
      <c r="G116" t="str">
        <v>AB</v>
      </c>
    </row>
    <row r="117">
      <c r="A117" t="str">
        <v>23/4/2026</v>
      </c>
      <c r="B117" t="str">
        <v>VG18</v>
      </c>
      <c r="C117" t="str">
        <v>1.Tàu Ứng</v>
      </c>
      <c r="D117" t="str">
        <v>Ứng tiền</v>
      </c>
      <c r="F117">
        <v>20000000</v>
      </c>
      <c r="G117" t="str">
        <v>AB</v>
      </c>
    </row>
    <row r="118">
      <c r="A118" t="str">
        <v>23/4/2026</v>
      </c>
      <c r="B118" t="str">
        <v>VG09</v>
      </c>
      <c r="C118" t="str">
        <v>2.Chi Phí Cảng</v>
      </c>
      <c r="D118" t="str">
        <v>Đại lý C8 tại Sơn Dương</v>
      </c>
      <c r="F118">
        <v>41383000</v>
      </c>
      <c r="G118" t="str">
        <v>AB</v>
      </c>
      <c r="H118" t="str">
        <v>Lê Phạm</v>
      </c>
      <c r="I118">
        <f>163878760-SUM(F118:F120)</f>
        <v>44609760</v>
      </c>
    </row>
    <row r="119">
      <c r="A119" t="str">
        <v>23/4/2026</v>
      </c>
      <c r="B119" t="str">
        <v>VG15</v>
      </c>
      <c r="C119" t="str">
        <v>2.Chi Phí Cảng</v>
      </c>
      <c r="D119" t="str">
        <v>Đại lý C9 tại Sơn Dương</v>
      </c>
      <c r="F119">
        <v>36769000</v>
      </c>
      <c r="G119" t="str">
        <v>AB</v>
      </c>
      <c r="H119" t="str">
        <v>Lê Phạm</v>
      </c>
    </row>
    <row r="120">
      <c r="A120" t="str">
        <v>23/4/2026</v>
      </c>
      <c r="B120" t="str">
        <v>VG18</v>
      </c>
      <c r="C120" t="str">
        <v>2.Chi Phí Cảng</v>
      </c>
      <c r="D120" t="str">
        <v>Đại lý C8 tại Sơn Dương</v>
      </c>
      <c r="F120">
        <v>41117000</v>
      </c>
      <c r="G120" t="str">
        <v>AB</v>
      </c>
      <c r="H120" t="str">
        <v>Lê Phạm</v>
      </c>
    </row>
    <row r="121">
      <c r="A121" t="str">
        <v>23/4/2026</v>
      </c>
      <c r="B121" t="str">
        <v>VG36</v>
      </c>
      <c r="C121" t="str">
        <v>2.Chi Phí Cảng</v>
      </c>
      <c r="D121" t="str">
        <v>Đại lý C8 tại Sơn Dương</v>
      </c>
      <c r="F121">
        <v>44609760</v>
      </c>
      <c r="G121" t="str">
        <v>AB</v>
      </c>
      <c r="H121" t="str">
        <v>Lê Phạm</v>
      </c>
    </row>
    <row r="122">
      <c r="A122" t="str">
        <v>23/4/2026</v>
      </c>
      <c r="B122" t="str">
        <v>VG36</v>
      </c>
      <c r="C122" t="str">
        <v>2.Chi Phí Cảng</v>
      </c>
      <c r="D122" t="str">
        <v>Phí cầu bến tại Đà Nẵng</v>
      </c>
      <c r="F122">
        <v>9334267</v>
      </c>
      <c r="G122" t="str">
        <v>AB</v>
      </c>
    </row>
    <row r="123">
      <c r="A123" t="str">
        <v>23/4/2026</v>
      </c>
      <c r="B123" t="str">
        <v>VG36</v>
      </c>
      <c r="C123" t="str">
        <v>2.Chi Phí Cảng</v>
      </c>
      <c r="D123" t="str">
        <v>Tàu lai tại Đà Nẵng</v>
      </c>
      <c r="F123">
        <v>9979200</v>
      </c>
      <c r="G123" t="str">
        <v>AB</v>
      </c>
    </row>
    <row r="124">
      <c r="A124" t="str">
        <v>23/4/2026</v>
      </c>
      <c r="B124" t="str">
        <v>VG09</v>
      </c>
      <c r="C124" t="str">
        <v>CVC</v>
      </c>
      <c r="D124" t="str">
        <v>HD29 VG09 Xỉ Sơn Dương - XM Tây Đô</v>
      </c>
      <c r="E124">
        <v>646829250</v>
      </c>
      <c r="G124" t="str">
        <v>AB</v>
      </c>
      <c r="H124" t="str">
        <v>Ngọc Anh</v>
      </c>
    </row>
    <row r="125">
      <c r="A125" t="str">
        <v>23/4/2026</v>
      </c>
      <c r="B125" t="str">
        <v>VG36</v>
      </c>
      <c r="C125" t="str">
        <v>CVC</v>
      </c>
      <c r="D125" t="str">
        <v>HD30 VG36 Clinker Hòn La - HCM</v>
      </c>
      <c r="E125">
        <f>823170750+100392150</f>
        <v>923562900</v>
      </c>
      <c r="G125" t="str">
        <v>AB</v>
      </c>
      <c r="H125" t="str">
        <v>Ngọc Anh</v>
      </c>
    </row>
    <row r="126">
      <c r="A126" t="str">
        <v>24/4/2026</v>
      </c>
      <c r="B126" t="str">
        <v>VG05</v>
      </c>
      <c r="C126" t="str">
        <v>CVC</v>
      </c>
      <c r="D126" t="str">
        <v>HD31 VG05 Than Quảng Ninh - Nghi Sơn</v>
      </c>
      <c r="E126">
        <v>346465800</v>
      </c>
      <c r="G126" t="str">
        <v>AB</v>
      </c>
      <c r="H126" t="str">
        <v>Ngọc Anh</v>
      </c>
    </row>
    <row r="127">
      <c r="A127" t="str">
        <v>24/4/2026</v>
      </c>
      <c r="B127" t="str">
        <v>VG36</v>
      </c>
      <c r="C127" t="str">
        <v>CVC</v>
      </c>
      <c r="D127" t="str">
        <v>HD32 VG36 Than Gò Da - Đà Nẵng</v>
      </c>
      <c r="E127">
        <f>213582260-46857950</f>
        <v>166724310</v>
      </c>
      <c r="G127" t="str">
        <v>AB</v>
      </c>
      <c r="H127" t="str">
        <v>Ngọc Anh</v>
      </c>
    </row>
    <row r="128">
      <c r="A128" t="str">
        <v>24/4/2026</v>
      </c>
      <c r="B128" t="str">
        <v>VG36</v>
      </c>
      <c r="C128" t="str">
        <v>2.Chi Phí Cảng</v>
      </c>
      <c r="D128" t="str">
        <v>Đại lý C8 tại HCM</v>
      </c>
      <c r="F128">
        <v>27997070</v>
      </c>
      <c r="G128" t="str">
        <v>AB</v>
      </c>
      <c r="H128" t="str">
        <v>Sunshine</v>
      </c>
    </row>
    <row r="129">
      <c r="A129" t="str">
        <v>24/4/2026</v>
      </c>
      <c r="B129" t="str">
        <v>VG36</v>
      </c>
      <c r="C129" t="str">
        <v>2.Chi Phí Cảng</v>
      </c>
      <c r="D129" t="str">
        <v>Đại lý C9 tại Hậu Giang</v>
      </c>
      <c r="F129">
        <v>33300235</v>
      </c>
      <c r="G129" t="str">
        <v>AB</v>
      </c>
      <c r="H129" t="str">
        <v>Sông Hậu</v>
      </c>
    </row>
    <row r="130">
      <c r="A130" t="str">
        <v>24/4/2026</v>
      </c>
      <c r="B130" t="str">
        <v>VG09</v>
      </c>
      <c r="C130" t="str">
        <v>4.Dầu DO</v>
      </c>
      <c r="D130" t="str">
        <v>Trả tiền dầu DO</v>
      </c>
      <c r="F130">
        <v>325611930</v>
      </c>
      <c r="G130" t="str">
        <v>AB</v>
      </c>
      <c r="H130" t="str">
        <v>Petrotime</v>
      </c>
    </row>
    <row r="131">
      <c r="A131" t="str">
        <v>24/4/2026</v>
      </c>
      <c r="B131" t="str">
        <v>VG18</v>
      </c>
      <c r="C131" t="str">
        <v>4.Dầu DO</v>
      </c>
      <c r="D131" t="str">
        <v>Trả tiền dầu DO</v>
      </c>
      <c r="F131">
        <v>550000000</v>
      </c>
      <c r="G131" t="str">
        <v>AB</v>
      </c>
      <c r="H131" t="str">
        <v>Hoàng Khải</v>
      </c>
    </row>
    <row r="132">
      <c r="A132" t="str">
        <v>24/4/2026</v>
      </c>
      <c r="B132" t="str">
        <v>VG05</v>
      </c>
      <c r="C132" t="str">
        <v>7.Bảo Hiểm</v>
      </c>
      <c r="D132" t="str">
        <v>BHXH T3</v>
      </c>
      <c r="F132">
        <f>108320000/5</f>
        <v>21664000</v>
      </c>
      <c r="G132" t="str">
        <v>AB</v>
      </c>
    </row>
    <row r="133">
      <c r="A133" t="str">
        <v>24/4/2026</v>
      </c>
      <c r="B133" t="str">
        <v>VG09</v>
      </c>
      <c r="C133" t="str">
        <v>7.Bảo Hiểm</v>
      </c>
      <c r="D133" t="str">
        <v>BHXH T3</v>
      </c>
      <c r="F133">
        <f>108320000/5</f>
        <v>21664000</v>
      </c>
      <c r="G133" t="str">
        <v>AB</v>
      </c>
    </row>
    <row r="134">
      <c r="A134" t="str">
        <v>24/4/2026</v>
      </c>
      <c r="B134" t="str">
        <v>VG15</v>
      </c>
      <c r="C134" t="str">
        <v>7.Bảo Hiểm</v>
      </c>
      <c r="D134" t="str">
        <v>BHXH T3</v>
      </c>
      <c r="F134">
        <f>108320000/5</f>
        <v>21664000</v>
      </c>
      <c r="G134" t="str">
        <v>AB</v>
      </c>
    </row>
    <row r="135">
      <c r="A135" t="str">
        <v>24/4/2026</v>
      </c>
      <c r="B135" t="str">
        <v>VG18</v>
      </c>
      <c r="C135" t="str">
        <v>7.Bảo Hiểm</v>
      </c>
      <c r="D135" t="str">
        <v>BHXH T3</v>
      </c>
      <c r="F135">
        <f>108320000/5</f>
        <v>21664000</v>
      </c>
      <c r="G135" t="str">
        <v>AB</v>
      </c>
    </row>
    <row r="136">
      <c r="A136" t="str">
        <v>24/4/2026</v>
      </c>
      <c r="B136" t="str">
        <v>VG36</v>
      </c>
      <c r="C136" t="str">
        <v>7.Bảo Hiểm</v>
      </c>
      <c r="D136" t="str">
        <v>BHXH T3</v>
      </c>
      <c r="F136">
        <f>108320000/5</f>
        <v>21664000</v>
      </c>
      <c r="G136" t="str">
        <v>AB</v>
      </c>
    </row>
    <row r="137">
      <c r="A137" t="str">
        <v>25/4/2026</v>
      </c>
      <c r="B137" t="str">
        <v>VG36</v>
      </c>
      <c r="C137" t="str">
        <v>4.Dầu DO</v>
      </c>
      <c r="D137" t="str">
        <v>Cấp dầu DO tại Chân mây</v>
      </c>
      <c r="F137">
        <v>562590074</v>
      </c>
      <c r="G137" t="str">
        <v>AB</v>
      </c>
      <c r="H137" t="str">
        <v>Cảng Chân Mây</v>
      </c>
      <c r="I137">
        <f>+S4</f>
        <v>1697159405</v>
      </c>
    </row>
    <row r="138">
      <c r="A138" t="str">
        <v>26/4/2026</v>
      </c>
      <c r="B138" t="str">
        <v>VG36</v>
      </c>
      <c r="C138" t="str">
        <v>2.Chi Phí Cảng</v>
      </c>
      <c r="D138" t="str">
        <v>Cầu bến , lai dắt tại Chân mây</v>
      </c>
      <c r="F138">
        <v>19019340</v>
      </c>
      <c r="G138" t="str">
        <v>AB</v>
      </c>
      <c r="I138">
        <f>519690-349861</f>
        <v>169829</v>
      </c>
    </row>
    <row r="139">
      <c r="A139" t="str">
        <v>26/4/2026</v>
      </c>
      <c r="B139" t="str">
        <v>VP</v>
      </c>
      <c r="C139" t="str">
        <v>Văn phòng</v>
      </c>
      <c r="D139" t="str">
        <v>Trả lãi TK</v>
      </c>
      <c r="E139">
        <v>169829</v>
      </c>
      <c r="G139" t="str">
        <v>AB</v>
      </c>
    </row>
    <row r="140">
      <c r="A140" t="str">
        <v>28/4/2026</v>
      </c>
      <c r="B140" t="str">
        <v>VG09</v>
      </c>
      <c r="C140" t="str">
        <v>CVC</v>
      </c>
      <c r="D140" t="str">
        <v>HD50 VG09 Cát Vĩnh Xương - Huy Văn</v>
      </c>
      <c r="E140">
        <v>300000000</v>
      </c>
      <c r="G140" t="str">
        <v>AB</v>
      </c>
      <c r="H140" t="str">
        <v>Bình Minh</v>
      </c>
    </row>
    <row r="141">
      <c r="A141" t="str">
        <v>28/4/2026</v>
      </c>
      <c r="B141" t="str">
        <v>VG09</v>
      </c>
      <c r="C141" t="str">
        <v>9.Vật Tư</v>
      </c>
      <c r="D141" t="str">
        <v>Vật tư phụ</v>
      </c>
      <c r="F141">
        <v>4306354</v>
      </c>
      <c r="G141" t="str">
        <v>VT</v>
      </c>
      <c r="H141" t="str">
        <v>Công ty Tố My</v>
      </c>
    </row>
    <row r="142">
      <c r="A142" t="str">
        <v>28/4/2026</v>
      </c>
      <c r="B142" t="str">
        <v>VP</v>
      </c>
      <c r="C142" t="str">
        <v>Văn phòng</v>
      </c>
      <c r="D142" t="str">
        <v>Máy tính + máy in</v>
      </c>
      <c r="F142">
        <v>22050000</v>
      </c>
      <c r="G142" t="str">
        <v>VT</v>
      </c>
    </row>
    <row r="143">
      <c r="A143" t="str">
        <v>28/4/2026</v>
      </c>
      <c r="B143" t="str">
        <v>VG09</v>
      </c>
      <c r="C143" t="str">
        <v>9.Vật Tư</v>
      </c>
      <c r="D143" t="str">
        <v>Sơn HP</v>
      </c>
      <c r="F143">
        <v>14220000</v>
      </c>
      <c r="G143" t="str">
        <v>AB</v>
      </c>
      <c r="H143" t="str">
        <v>Sơn HP</v>
      </c>
      <c r="I143">
        <f>18426085-F143</f>
        <v>4206085</v>
      </c>
    </row>
    <row r="144">
      <c r="A144" t="str">
        <v>28/4/2026</v>
      </c>
      <c r="B144" t="str">
        <v>VG05</v>
      </c>
      <c r="C144" t="str">
        <v>9.Vật Tư</v>
      </c>
      <c r="D144" t="str">
        <v>Sơn HP</v>
      </c>
      <c r="F144">
        <v>4206085</v>
      </c>
      <c r="G144" t="str">
        <v>AB</v>
      </c>
      <c r="H144" t="str">
        <v>Sơn HP</v>
      </c>
    </row>
    <row r="145">
      <c r="A145" t="str">
        <v>28/4/2026</v>
      </c>
      <c r="B145" t="str">
        <v>VG18</v>
      </c>
      <c r="C145" t="str">
        <v>9.Vật Tư</v>
      </c>
      <c r="D145" t="str">
        <v>Bồi dưỡng sửa chưa tời lái</v>
      </c>
      <c r="F145">
        <v>2000000</v>
      </c>
      <c r="G145" t="str">
        <v>CN</v>
      </c>
    </row>
    <row r="146">
      <c r="A146" t="str">
        <v>29/4/2026</v>
      </c>
      <c r="B146" t="str">
        <v>VG36</v>
      </c>
      <c r="C146" t="str">
        <v>CVC</v>
      </c>
      <c r="D146" t="str">
        <v>HD32 VG36 Than Gò Da - Đà Nẵng</v>
      </c>
      <c r="E146">
        <v>343275690</v>
      </c>
      <c r="G146" t="str">
        <v>AB</v>
      </c>
      <c r="H146" t="str">
        <v>Ngọc Anh</v>
      </c>
    </row>
    <row r="147">
      <c r="A147" t="str">
        <v>29/4/2026</v>
      </c>
      <c r="B147" t="str">
        <v>VG05</v>
      </c>
      <c r="C147" t="str">
        <v>CVC</v>
      </c>
      <c r="D147" t="str">
        <v>HD33 VG05 Quặng Vĩnh Xương - Hải Phòng</v>
      </c>
      <c r="E147">
        <f>490000000+457065800-343275690</f>
        <v>603790110</v>
      </c>
      <c r="G147" t="str">
        <v>AB</v>
      </c>
      <c r="H147" t="str">
        <v>Ngọc Anh</v>
      </c>
    </row>
    <row r="148">
      <c r="A148" t="str">
        <v>29/4/2026</v>
      </c>
      <c r="B148" t="str">
        <v>VG15</v>
      </c>
      <c r="C148" t="str">
        <v>1.Tàu Ứng</v>
      </c>
      <c r="D148" t="str">
        <v>Ứng tiền</v>
      </c>
      <c r="F148">
        <v>30000000</v>
      </c>
      <c r="G148" t="str">
        <v>AB</v>
      </c>
    </row>
    <row r="149">
      <c r="A149" t="str">
        <v>29/4/2026</v>
      </c>
      <c r="B149" t="str">
        <v>VG36</v>
      </c>
      <c r="C149" t="str">
        <v>1.Tàu Ứng</v>
      </c>
      <c r="D149" t="str">
        <v>Ứng tiền</v>
      </c>
      <c r="F149">
        <v>20000000</v>
      </c>
      <c r="G149" t="str">
        <v>AB</v>
      </c>
    </row>
    <row r="150">
      <c r="A150" t="str">
        <v>30/4/2026</v>
      </c>
      <c r="B150" t="str">
        <v>VP</v>
      </c>
      <c r="C150" t="str">
        <v>Văn phòng</v>
      </c>
      <c r="D150" t="str">
        <v>Trả lãi TK</v>
      </c>
      <c r="E150">
        <v>99261</v>
      </c>
      <c r="G150" t="str">
        <v>VT</v>
      </c>
    </row>
    <row r="151">
      <c r="A151" t="str">
        <v>30/4/2026</v>
      </c>
      <c r="B151" t="str">
        <v>VP</v>
      </c>
      <c r="C151" t="str">
        <v>Luân chuyển</v>
      </c>
      <c r="D151" t="str">
        <v>Luân chuyển tiền mặt</v>
      </c>
      <c r="E151">
        <v>68375000</v>
      </c>
      <c r="G151" t="str">
        <v>CN</v>
      </c>
    </row>
    <row r="152">
      <c r="A152" t="str">
        <v>30/4/2026</v>
      </c>
      <c r="B152" t="str">
        <v>VP</v>
      </c>
      <c r="C152" t="str">
        <v>Luân chuyển</v>
      </c>
      <c r="D152" t="str">
        <v>Luân chuyển tiền mặt</v>
      </c>
      <c r="F152">
        <v>68375000</v>
      </c>
      <c r="G152" t="str">
        <v>VT</v>
      </c>
    </row>
    <row r="153">
      <c r="A153" t="str">
        <v>30/4/2026</v>
      </c>
      <c r="B153" t="str">
        <v>VP</v>
      </c>
      <c r="C153" t="str">
        <v>Văn phòng</v>
      </c>
      <c r="D153" t="str">
        <v>Nhận tiền bảo hiểm</v>
      </c>
      <c r="E153">
        <v>4800000</v>
      </c>
      <c r="G153" t="str">
        <v>CN</v>
      </c>
    </row>
    <row r="154">
      <c r="A154" t="str">
        <v>30/4/2026</v>
      </c>
      <c r="B154" t="str">
        <v>VP</v>
      </c>
      <c r="C154" t="str">
        <v>Văn phòng</v>
      </c>
      <c r="D154" t="str">
        <v>Lương Tùng</v>
      </c>
      <c r="F154">
        <v>40000000</v>
      </c>
      <c r="G154" t="str">
        <v>VT</v>
      </c>
    </row>
    <row r="155">
      <c r="A155" t="str">
        <v>30/4/2026</v>
      </c>
      <c r="B155" t="str">
        <v>VP</v>
      </c>
      <c r="C155" t="str">
        <v>Văn phòng</v>
      </c>
      <c r="D155" t="str">
        <v>Lương C Phương</v>
      </c>
      <c r="F155">
        <v>20000000</v>
      </c>
      <c r="G155" t="str">
        <v>VT</v>
      </c>
    </row>
    <row r="156">
      <c r="A156" t="str">
        <v>30/4/2026</v>
      </c>
      <c r="B156" t="str">
        <v>VP</v>
      </c>
      <c r="C156" t="str">
        <v>Văn phòng</v>
      </c>
      <c r="D156" t="str">
        <v>Lương Vĩnh</v>
      </c>
      <c r="F156">
        <v>67650000</v>
      </c>
      <c r="G156" t="str">
        <v>VT</v>
      </c>
    </row>
    <row r="157">
      <c r="A157" t="str">
        <v>30/4/2026</v>
      </c>
      <c r="B157" t="str">
        <v>VP</v>
      </c>
      <c r="C157" t="str">
        <v>Văn phòng</v>
      </c>
      <c r="D157" t="str">
        <v>Vé máy bay</v>
      </c>
      <c r="F157">
        <v>28190000</v>
      </c>
      <c r="G157" t="str">
        <v>VT</v>
      </c>
    </row>
    <row r="158">
      <c r="A158" t="str">
        <v>30/4/2026</v>
      </c>
      <c r="B158" t="str">
        <v>VG05</v>
      </c>
      <c r="C158" t="str">
        <v>3.Lương</v>
      </c>
      <c r="D158" t="str">
        <v>Lương Tháng 3</v>
      </c>
      <c r="F158">
        <v>195829500</v>
      </c>
      <c r="G158" t="str">
        <v>VT</v>
      </c>
    </row>
    <row r="159">
      <c r="A159" t="str">
        <v>30/4/2026</v>
      </c>
      <c r="B159" t="str">
        <v>VG09</v>
      </c>
      <c r="C159" t="str">
        <v>3.Lương</v>
      </c>
      <c r="D159" t="str">
        <v>Lương Tháng 3</v>
      </c>
      <c r="F159">
        <v>199694833.33333334</v>
      </c>
      <c r="G159" t="str">
        <v>VT</v>
      </c>
    </row>
    <row r="160">
      <c r="A160" t="str">
        <v>30/4/2026</v>
      </c>
      <c r="B160" t="str">
        <v>VG15</v>
      </c>
      <c r="C160" t="str">
        <v>3.Lương</v>
      </c>
      <c r="D160" t="str">
        <v>Lương Tháng 3</v>
      </c>
      <c r="F160">
        <v>203028000</v>
      </c>
      <c r="G160" t="str">
        <v>VT</v>
      </c>
    </row>
    <row r="161">
      <c r="A161" t="str">
        <v>30/4/2026</v>
      </c>
      <c r="B161" t="str">
        <v>VG18</v>
      </c>
      <c r="C161" t="str">
        <v>3.Lương</v>
      </c>
      <c r="D161" t="str">
        <v>Lương Tháng 3</v>
      </c>
      <c r="F161">
        <v>220093500</v>
      </c>
      <c r="G161" t="str">
        <v>VT</v>
      </c>
    </row>
    <row r="162">
      <c r="A162" t="str">
        <v>30/4/2026</v>
      </c>
      <c r="B162" t="str">
        <v>VG36</v>
      </c>
      <c r="C162" t="str">
        <v>3.Lương</v>
      </c>
      <c r="D162" t="str">
        <v>Lương Tháng 3</v>
      </c>
      <c r="F162">
        <v>202606166.66666666</v>
      </c>
      <c r="G162" t="str">
        <v>VT</v>
      </c>
    </row>
    <row r="163">
      <c r="A163" t="str">
        <v>30/4/2026</v>
      </c>
      <c r="B163" t="str">
        <v>VG05</v>
      </c>
      <c r="C163" t="str">
        <v>1.Tàu Ứng</v>
      </c>
      <c r="D163" t="str">
        <v>Ứng tiền</v>
      </c>
      <c r="F163">
        <v>43670125</v>
      </c>
      <c r="G163" t="str">
        <v>VT</v>
      </c>
    </row>
    <row r="164">
      <c r="A164" t="str">
        <v>30/4/2026</v>
      </c>
      <c r="B164" t="str">
        <v>VG09</v>
      </c>
      <c r="C164" t="str">
        <v>1.Tàu Ứng</v>
      </c>
      <c r="D164" t="str">
        <v>Ứng tiền</v>
      </c>
      <c r="F164">
        <v>52891791.666666664</v>
      </c>
      <c r="G164" t="str">
        <v>VT</v>
      </c>
    </row>
    <row r="165">
      <c r="A165" t="str">
        <v>30/4/2026</v>
      </c>
      <c r="B165" t="str">
        <v>VG15</v>
      </c>
      <c r="C165" t="str">
        <v>1.Tàu Ứng</v>
      </c>
      <c r="D165" t="str">
        <v>Ứng tiền</v>
      </c>
      <c r="F165">
        <v>3100000</v>
      </c>
      <c r="G165" t="str">
        <v>VT</v>
      </c>
    </row>
    <row r="166">
      <c r="A166" t="str">
        <v>30/4/2026</v>
      </c>
      <c r="B166" t="str">
        <v>VG18</v>
      </c>
      <c r="C166" t="str">
        <v>1.Tàu Ứng</v>
      </c>
      <c r="D166" t="str">
        <v>Ứng tiền</v>
      </c>
      <c r="F166">
        <v>9000000</v>
      </c>
      <c r="G166" t="str">
        <v>VT</v>
      </c>
    </row>
    <row r="167">
      <c r="A167" t="str">
        <v>30/4/2026</v>
      </c>
      <c r="B167" t="str">
        <v>VG36</v>
      </c>
      <c r="C167" t="str">
        <v>1.Tàu Ứng</v>
      </c>
      <c r="D167" t="str">
        <v>Ứng tiền</v>
      </c>
      <c r="F167">
        <v>38215358.333333336</v>
      </c>
      <c r="G167" t="str">
        <v>VT</v>
      </c>
    </row>
    <row r="168">
      <c r="A168">
        <v>46027</v>
      </c>
      <c r="B168" t="str">
        <v>VG18</v>
      </c>
      <c r="C168" t="str">
        <v>1.Tàu Ứng</v>
      </c>
      <c r="D168" t="str">
        <v>Ứng tiền</v>
      </c>
      <c r="F168">
        <v>30000000</v>
      </c>
      <c r="G168" t="str">
        <v>CN</v>
      </c>
    </row>
    <row r="169">
      <c r="A169">
        <v>46086</v>
      </c>
      <c r="B169" t="str">
        <v>VG15</v>
      </c>
      <c r="C169" t="str">
        <v>2.Chi Phí Cảng</v>
      </c>
      <c r="D169" t="str">
        <v>Tàu lai tại Đà Nẵng</v>
      </c>
      <c r="F169">
        <f>9000000+979200</f>
        <v>9979200</v>
      </c>
      <c r="G169" t="str">
        <v>AB</v>
      </c>
    </row>
    <row r="170">
      <c r="A170">
        <v>46086</v>
      </c>
      <c r="B170" t="str">
        <v>VG15</v>
      </c>
      <c r="C170" t="str">
        <v>2.Chi Phí Cảng</v>
      </c>
      <c r="D170" t="str">
        <v>Phí cầu bến tại Đà Nẵng</v>
      </c>
      <c r="F170">
        <v>7885934</v>
      </c>
      <c r="G170" t="str">
        <v>AB</v>
      </c>
    </row>
    <row r="171">
      <c r="A171">
        <v>46086</v>
      </c>
      <c r="B171" t="str">
        <v>VP</v>
      </c>
      <c r="C171" t="str">
        <v>Luân chuyển</v>
      </c>
      <c r="D171" t="str">
        <v>Luân chuyển tiền mặt</v>
      </c>
      <c r="F171">
        <v>200000000</v>
      </c>
      <c r="G171" t="str">
        <v>AB</v>
      </c>
    </row>
    <row r="172">
      <c r="A172">
        <v>46086</v>
      </c>
      <c r="B172" t="str">
        <v>VP</v>
      </c>
      <c r="C172" t="str">
        <v>Luân chuyển</v>
      </c>
      <c r="D172" t="str">
        <v>Luân chuyển tiền mặt</v>
      </c>
      <c r="E172">
        <v>200000000</v>
      </c>
      <c r="G172" t="str">
        <v>VT</v>
      </c>
    </row>
    <row r="173">
      <c r="A173">
        <v>46117</v>
      </c>
      <c r="B173" t="str">
        <v>VG18</v>
      </c>
      <c r="C173" t="str">
        <v>4.Dầu DO</v>
      </c>
      <c r="D173" t="str">
        <v>Trả đủ đơn dầu tại Sơn Dương</v>
      </c>
      <c r="F173">
        <v>577576960</v>
      </c>
      <c r="G173" t="str">
        <v>AB</v>
      </c>
      <c r="H173" t="str">
        <v>Hoàng Khải</v>
      </c>
    </row>
    <row r="174">
      <c r="A174">
        <v>46117</v>
      </c>
      <c r="B174" t="str">
        <v>VG18</v>
      </c>
      <c r="C174" t="str">
        <v>6.Lãi Vay</v>
      </c>
      <c r="D174" t="str">
        <v>Trả lãi vay Yến Hậu</v>
      </c>
      <c r="F174">
        <v>195070000</v>
      </c>
      <c r="G174" t="str">
        <v>AB</v>
      </c>
    </row>
    <row r="175">
      <c r="A175">
        <v>46117</v>
      </c>
      <c r="B175" t="str">
        <v>VP</v>
      </c>
      <c r="C175" t="str">
        <v>Luân chuyển</v>
      </c>
      <c r="D175" t="str">
        <v>Chuyển tk Tùng</v>
      </c>
      <c r="E175">
        <v>4930000</v>
      </c>
      <c r="G175" t="str">
        <v>CN</v>
      </c>
    </row>
    <row r="176">
      <c r="A176">
        <v>46117</v>
      </c>
      <c r="B176" t="str">
        <v>VP</v>
      </c>
      <c r="C176" t="str">
        <v>Luân chuyển</v>
      </c>
      <c r="D176" t="str">
        <v>Chuyển tk Tùng</v>
      </c>
      <c r="F176">
        <v>4930000</v>
      </c>
      <c r="G176" t="str">
        <v>AB</v>
      </c>
    </row>
    <row r="177">
      <c r="A177">
        <v>46147</v>
      </c>
      <c r="B177" t="str">
        <v>VG15</v>
      </c>
      <c r="C177" t="str">
        <v>1.Tàu Ứng</v>
      </c>
      <c r="D177" t="str">
        <v>Ứng tiền</v>
      </c>
      <c r="F177">
        <v>20000000</v>
      </c>
      <c r="G177" t="str">
        <v>AB</v>
      </c>
    </row>
    <row r="178">
      <c r="A178">
        <v>46147</v>
      </c>
      <c r="B178" t="str">
        <v>VG18</v>
      </c>
      <c r="C178" t="str">
        <v>9.Vật Tư</v>
      </c>
      <c r="D178" t="str">
        <v>Sơn HP</v>
      </c>
      <c r="F178">
        <v>21191220</v>
      </c>
      <c r="G178" t="str">
        <v>AB</v>
      </c>
      <c r="H178" t="str">
        <v>Sơn HP</v>
      </c>
    </row>
    <row r="179">
      <c r="A179">
        <v>46147</v>
      </c>
      <c r="B179" t="str">
        <v>VG15</v>
      </c>
      <c r="C179" t="str">
        <v>CVC</v>
      </c>
      <c r="D179" t="str">
        <v>Thu CVC HD34 VG15 Chân Mây - Hâụ Giang</v>
      </c>
      <c r="E179">
        <v>1116447400</v>
      </c>
      <c r="G179" t="str">
        <v>AB</v>
      </c>
      <c r="H179" t="str">
        <v>Ngọc Anh</v>
      </c>
    </row>
    <row r="180">
      <c r="A180">
        <v>46147</v>
      </c>
      <c r="B180" t="str">
        <v>VG18</v>
      </c>
      <c r="C180" t="str">
        <v>CVC</v>
      </c>
      <c r="D180" t="str">
        <v>Thu CVC HD35 VG18 Tôn Cuộn Gò Dầu - Hải Phòng</v>
      </c>
      <c r="E180">
        <v>1180433520</v>
      </c>
      <c r="G180" t="str">
        <v>AB</v>
      </c>
      <c r="H180" t="str">
        <v>Ngọc Anh</v>
      </c>
    </row>
    <row r="181">
      <c r="A181">
        <v>46147</v>
      </c>
      <c r="B181" t="str">
        <v>VG05</v>
      </c>
      <c r="C181" t="str">
        <v>2.Chi Phí Cảng</v>
      </c>
      <c r="D181" t="str">
        <v>Đại lý Sông Hậu tại  Hậu Giang C10</v>
      </c>
      <c r="F181">
        <v>8331000</v>
      </c>
      <c r="G181" t="str">
        <v>AB</v>
      </c>
      <c r="H181" t="str">
        <v>Sông Hậu</v>
      </c>
    </row>
    <row r="182">
      <c r="A182">
        <v>46147</v>
      </c>
      <c r="B182" t="str">
        <v>VG05</v>
      </c>
      <c r="C182" t="str">
        <v>2.Chi Phí Cảng</v>
      </c>
      <c r="D182" t="str">
        <v>Đại lý Sông Hậu tại VĨnh Xương C11</v>
      </c>
      <c r="F182">
        <v>7000000</v>
      </c>
      <c r="G182" t="str">
        <v>AB</v>
      </c>
      <c r="H182" t="str">
        <v>Sông Hậu</v>
      </c>
    </row>
    <row r="183">
      <c r="A183">
        <v>46147</v>
      </c>
      <c r="B183" t="str">
        <v>VG09</v>
      </c>
      <c r="C183" t="str">
        <v>2.Chi Phí Cảng</v>
      </c>
      <c r="D183" t="str">
        <v>Đại lý Sơng Hậu tại Hậu Giang C8</v>
      </c>
      <c r="F183">
        <v>15969000</v>
      </c>
      <c r="G183" t="str">
        <v>AB</v>
      </c>
      <c r="H183" t="str">
        <v>Sông Hậu</v>
      </c>
    </row>
    <row r="184">
      <c r="A184">
        <v>46147</v>
      </c>
      <c r="B184" t="str">
        <v>VG09</v>
      </c>
      <c r="C184" t="str">
        <v>2.Chi Phí Cảng</v>
      </c>
      <c r="D184" t="str">
        <v>Đại lý Sông Hậu tại VĨnh Xương C9</v>
      </c>
      <c r="F184">
        <v>50353000</v>
      </c>
      <c r="G184" t="str">
        <v>AB</v>
      </c>
      <c r="H184" t="str">
        <v>Sông Hậu</v>
      </c>
    </row>
    <row r="185">
      <c r="A185">
        <v>46147</v>
      </c>
      <c r="B185" t="str">
        <v>VG15</v>
      </c>
      <c r="C185" t="str">
        <v>2.Chi Phí Cảng</v>
      </c>
      <c r="D185" t="str">
        <v>Đại lý Sơng Hậu tại Hậu Giang C9</v>
      </c>
      <c r="F185">
        <v>36711000</v>
      </c>
      <c r="G185" t="str">
        <v>AB</v>
      </c>
      <c r="H185" t="str">
        <v>Sông Hậu</v>
      </c>
    </row>
    <row r="186">
      <c r="A186">
        <v>46147</v>
      </c>
      <c r="B186" t="str">
        <v>VG15</v>
      </c>
      <c r="C186" t="str">
        <v>2.Chi Phí Cảng</v>
      </c>
      <c r="D186" t="str">
        <v>Đại lý Sông Hậu tại VĨnh Xương C10</v>
      </c>
      <c r="F186">
        <v>49919000</v>
      </c>
      <c r="G186" t="str">
        <v>AB</v>
      </c>
      <c r="H186" t="str">
        <v>Sông Hậu</v>
      </c>
    </row>
    <row r="187">
      <c r="A187">
        <v>46147</v>
      </c>
      <c r="B187" t="str">
        <v>VG18</v>
      </c>
      <c r="C187" t="str">
        <v>2.Chi Phí Cảng</v>
      </c>
      <c r="D187" t="str">
        <v>Đại lý Sơng Hậu tại Hậu Giang C8</v>
      </c>
      <c r="F187">
        <v>44449864</v>
      </c>
      <c r="G187" t="str">
        <v>AB</v>
      </c>
      <c r="H187" t="str">
        <v>Sông Hậu</v>
      </c>
    </row>
    <row r="188">
      <c r="A188">
        <v>46147</v>
      </c>
      <c r="B188" t="str">
        <v>VG09</v>
      </c>
      <c r="C188" t="str">
        <v>9.Vật Tư</v>
      </c>
      <c r="D188" t="str">
        <v>Lắp đặt Camera</v>
      </c>
      <c r="F188">
        <v>17550000</v>
      </c>
      <c r="G188" t="str">
        <v>AB</v>
      </c>
    </row>
    <row r="189">
      <c r="A189">
        <v>46147</v>
      </c>
      <c r="B189" t="str">
        <v>VG18</v>
      </c>
      <c r="C189" t="str">
        <v>9.Vật Tư</v>
      </c>
      <c r="D189" t="str">
        <v>Sửa chữa điện</v>
      </c>
      <c r="F189">
        <v>50021280</v>
      </c>
      <c r="G189" t="str">
        <v>AB</v>
      </c>
    </row>
    <row r="190">
      <c r="A190">
        <v>46147</v>
      </c>
      <c r="B190" t="str">
        <v>VG18</v>
      </c>
      <c r="C190" t="str">
        <v>5.Dầu LO</v>
      </c>
      <c r="D190" t="str">
        <v>Cấp LO VG18 ngày 1/4</v>
      </c>
      <c r="F190">
        <v>100224000</v>
      </c>
      <c r="G190" t="str">
        <v>AB</v>
      </c>
      <c r="H190" t="str">
        <v>Nhất Minh Sơn</v>
      </c>
    </row>
    <row r="191">
      <c r="A191">
        <v>46147</v>
      </c>
      <c r="B191" t="str">
        <v>VG05</v>
      </c>
      <c r="C191" t="str">
        <v>5.Dầu LO</v>
      </c>
      <c r="D191" t="str">
        <v>Cấp LO VG05 ngày 26/1</v>
      </c>
      <c r="F191">
        <v>59000000</v>
      </c>
      <c r="G191" t="str">
        <v>AB</v>
      </c>
      <c r="H191" t="str">
        <v>Nhất Minh Sơn</v>
      </c>
    </row>
    <row r="192">
      <c r="A192">
        <v>46147</v>
      </c>
      <c r="B192" t="str">
        <v>VG15</v>
      </c>
      <c r="C192" t="str">
        <v>5.Dầu LO</v>
      </c>
      <c r="D192" t="str">
        <v>Cấp LO VG15 ngày 23/2</v>
      </c>
      <c r="F192">
        <v>35700000</v>
      </c>
      <c r="G192" t="str">
        <v>AB</v>
      </c>
      <c r="H192" t="str">
        <v>Nhất Minh Sơn</v>
      </c>
    </row>
    <row r="193">
      <c r="A193">
        <v>46147</v>
      </c>
      <c r="B193" t="str">
        <v>VG09</v>
      </c>
      <c r="C193" t="str">
        <v>5.Dầu LO</v>
      </c>
      <c r="D193" t="str">
        <v>Cấp LO VG09 ngày 14/3</v>
      </c>
      <c r="F193">
        <v>59500000</v>
      </c>
      <c r="G193" t="str">
        <v>AB</v>
      </c>
      <c r="H193" t="str">
        <v>Nhất Minh Sơn</v>
      </c>
    </row>
    <row r="194">
      <c r="A194">
        <v>46147</v>
      </c>
      <c r="B194" t="str">
        <v>VG15</v>
      </c>
      <c r="C194" t="str">
        <v>5.Dầu LO</v>
      </c>
      <c r="D194" t="str">
        <v>Cấp LO VG15 ngày 18/3</v>
      </c>
      <c r="F194">
        <v>59500000</v>
      </c>
      <c r="G194" t="str">
        <v>AB</v>
      </c>
      <c r="H194" t="str">
        <v>Nhất Minh Sơn</v>
      </c>
    </row>
    <row r="195">
      <c r="A195">
        <v>46147</v>
      </c>
      <c r="B195" t="str">
        <v>VG15</v>
      </c>
      <c r="C195" t="str">
        <v>4.Dầu DO</v>
      </c>
      <c r="D195" t="str">
        <v>Cấp dầu VG15 tại Sơn Dương</v>
      </c>
      <c r="F195">
        <v>610369850</v>
      </c>
      <c r="G195" t="str">
        <v>AB</v>
      </c>
      <c r="H195" t="str">
        <v>Long Bình</v>
      </c>
    </row>
    <row r="196">
      <c r="A196">
        <v>46147</v>
      </c>
      <c r="B196" t="str">
        <v>VG15</v>
      </c>
      <c r="C196" t="str">
        <v>CVC</v>
      </c>
      <c r="D196" t="str">
        <v>Thu CVC HD27 VG15 Cát Vĩnh Xương - Đà Nẵng</v>
      </c>
      <c r="E196">
        <v>656028800</v>
      </c>
      <c r="G196" t="str">
        <v>VT</v>
      </c>
      <c r="H196" t="str">
        <v>Hoàng Quyên</v>
      </c>
    </row>
    <row r="197">
      <c r="A197">
        <v>46178</v>
      </c>
      <c r="B197" t="str">
        <v>VP</v>
      </c>
      <c r="C197" t="str">
        <v>Văn phòng</v>
      </c>
      <c r="D197" t="str">
        <v>Công đức chùa</v>
      </c>
      <c r="F197">
        <v>200000000</v>
      </c>
      <c r="G197" t="str">
        <v>VT</v>
      </c>
    </row>
    <row r="198">
      <c r="A198">
        <v>46178</v>
      </c>
      <c r="B198" t="str">
        <v>VP</v>
      </c>
      <c r="C198" t="str">
        <v>Văn phòng</v>
      </c>
      <c r="D198" t="str">
        <v>Thu phí duy trì</v>
      </c>
      <c r="F198">
        <v>100000</v>
      </c>
      <c r="G198" t="str">
        <v>VT</v>
      </c>
    </row>
    <row r="199">
      <c r="A199">
        <v>46178</v>
      </c>
      <c r="B199" t="str">
        <v>VG36</v>
      </c>
      <c r="C199" t="str">
        <v>1.Tàu Ứng</v>
      </c>
      <c r="D199" t="str">
        <v>Ứng tiền</v>
      </c>
      <c r="F199">
        <v>30000000</v>
      </c>
      <c r="G199" t="str">
        <v>AB</v>
      </c>
    </row>
    <row r="200">
      <c r="A200">
        <v>46239</v>
      </c>
      <c r="B200" t="str">
        <v>VG36</v>
      </c>
      <c r="C200" t="str">
        <v>4.Dầu DO</v>
      </c>
      <c r="D200" t="str">
        <v>Cấp DầuVG36 tại Đà Nẵng</v>
      </c>
      <c r="F200">
        <v>537429500</v>
      </c>
      <c r="G200" t="str">
        <v>AB</v>
      </c>
    </row>
    <row r="201">
      <c r="A201">
        <v>46239</v>
      </c>
      <c r="B201" t="str">
        <v>VG09</v>
      </c>
      <c r="C201" t="str">
        <v>9.Vật Tư</v>
      </c>
      <c r="D201" t="str">
        <v>Đồ máy 24</v>
      </c>
      <c r="F201">
        <v>460000</v>
      </c>
      <c r="G201" t="str">
        <v>CN</v>
      </c>
    </row>
    <row r="202">
      <c r="A202">
        <v>46239</v>
      </c>
      <c r="B202" t="str">
        <v>VP</v>
      </c>
      <c r="C202" t="str">
        <v>Văn phòng</v>
      </c>
      <c r="D202" t="str">
        <v>Cước Điện thoại</v>
      </c>
      <c r="F202">
        <v>796915</v>
      </c>
      <c r="G202" t="str">
        <v>CN</v>
      </c>
    </row>
    <row r="203">
      <c r="A203">
        <v>46239</v>
      </c>
      <c r="B203" t="str">
        <v>VG09</v>
      </c>
      <c r="C203" t="str">
        <v>2.Chi Phí Cảng</v>
      </c>
      <c r="D203" t="str">
        <v>Đại lý ngoài</v>
      </c>
      <c r="F203">
        <v>11000000</v>
      </c>
      <c r="G203" t="str">
        <v>CN</v>
      </c>
      <c r="H203" t="str">
        <v>Hoàng Đăng</v>
      </c>
    </row>
    <row r="204">
      <c r="A204">
        <v>46239</v>
      </c>
      <c r="B204" t="str">
        <v>VG05</v>
      </c>
      <c r="C204" t="str">
        <v>2.Chi Phí Cảng</v>
      </c>
      <c r="D204" t="str">
        <v>Đại lý ngoài</v>
      </c>
      <c r="F204">
        <v>4000000</v>
      </c>
      <c r="G204" t="str">
        <v>CN</v>
      </c>
      <c r="H204" t="str">
        <v>Hoàng Đăng</v>
      </c>
    </row>
    <row r="205">
      <c r="A205">
        <v>46239</v>
      </c>
      <c r="B205" t="str">
        <v>VG05</v>
      </c>
      <c r="C205" t="str">
        <v>2.Chi Phí Cảng</v>
      </c>
      <c r="D205" t="str">
        <v>Đại lý tại Quảng Ninh</v>
      </c>
      <c r="F205">
        <v>4320000</v>
      </c>
      <c r="G205" t="str">
        <v>AB</v>
      </c>
      <c r="H205" t="str">
        <v>Hoàng Đăng</v>
      </c>
    </row>
    <row r="206">
      <c r="A206">
        <v>46239</v>
      </c>
      <c r="B206" t="str">
        <v>VG09</v>
      </c>
      <c r="C206" t="str">
        <v>2.Chi Phí Cảng</v>
      </c>
      <c r="D206" t="str">
        <v>Hoa tiêu C9 Cát tại Huy Văn</v>
      </c>
      <c r="F206">
        <v>4320000</v>
      </c>
      <c r="G206" t="str">
        <v>AB</v>
      </c>
    </row>
    <row r="207">
      <c r="A207">
        <v>46239</v>
      </c>
      <c r="B207" t="str">
        <v>VG09</v>
      </c>
      <c r="C207" t="str">
        <v>9.Vật Tư</v>
      </c>
      <c r="D207" t="str">
        <v>Vật tư + Sửa chữa máy T3</v>
      </c>
      <c r="F207">
        <v>13790304</v>
      </c>
      <c r="G207" t="str">
        <v>AB</v>
      </c>
    </row>
    <row r="208">
      <c r="A208">
        <v>46239</v>
      </c>
      <c r="B208" t="str">
        <v>VG05</v>
      </c>
      <c r="C208" t="str">
        <v>9.Vật Tư</v>
      </c>
      <c r="D208" t="str">
        <v>Lắp đặt Camera</v>
      </c>
      <c r="F208">
        <v>17550000</v>
      </c>
      <c r="G208" t="str">
        <v>AB</v>
      </c>
    </row>
    <row r="209">
      <c r="A209">
        <v>46270</v>
      </c>
      <c r="B209" t="str">
        <v>VG36</v>
      </c>
      <c r="C209" t="str">
        <v>2.Chi Phí Cảng</v>
      </c>
      <c r="D209" t="str">
        <v>Cầu bến VG36 tại Đà Nẵng C11 Cát</v>
      </c>
      <c r="F209">
        <v>5744957</v>
      </c>
      <c r="G209" t="str">
        <v>VT</v>
      </c>
    </row>
    <row r="210">
      <c r="A210">
        <v>46270</v>
      </c>
      <c r="B210" t="str">
        <v>VG36</v>
      </c>
      <c r="C210" t="str">
        <v>2.Chi Phí Cảng</v>
      </c>
      <c r="D210" t="str">
        <v>Tàu Lai VG36 tại Đà Nẵng C11 Cát</v>
      </c>
      <c r="F210">
        <v>9936000</v>
      </c>
      <c r="G210" t="str">
        <v>AB</v>
      </c>
    </row>
    <row r="211">
      <c r="A211">
        <v>46270</v>
      </c>
      <c r="B211" t="str">
        <v>VG05</v>
      </c>
      <c r="C211" t="str">
        <v>1.Tàu Ứng</v>
      </c>
      <c r="D211" t="str">
        <v>Ứng tiền</v>
      </c>
      <c r="F211">
        <v>30000000</v>
      </c>
      <c r="G211" t="str">
        <v>AB</v>
      </c>
    </row>
    <row r="212">
      <c r="A212">
        <v>46270</v>
      </c>
      <c r="B212" t="str">
        <v>VG18</v>
      </c>
      <c r="C212" t="str">
        <v>1.Tàu Ứng</v>
      </c>
      <c r="D212" t="str">
        <v>Ứng tiền</v>
      </c>
      <c r="F212">
        <v>20000000</v>
      </c>
      <c r="G212" t="str">
        <v>AB</v>
      </c>
    </row>
    <row r="213">
      <c r="A213">
        <v>46300</v>
      </c>
      <c r="B213" t="str">
        <v>VG18</v>
      </c>
      <c r="C213" t="str">
        <v>4.Dầu DO</v>
      </c>
      <c r="D213" t="str">
        <v>Cấp ứng dầu VG18 tại Sơn Dương</v>
      </c>
      <c r="F213">
        <v>400000000</v>
      </c>
      <c r="G213" t="str">
        <v>AB</v>
      </c>
      <c r="H213" t="str">
        <v>Hoàng Khải</v>
      </c>
    </row>
    <row r="214">
      <c r="A214">
        <v>46300</v>
      </c>
      <c r="B214" t="str">
        <v>VP</v>
      </c>
      <c r="C214" t="str">
        <v>Văn phòng</v>
      </c>
      <c r="D214" t="str">
        <v>Phí duy trì tài khoản</v>
      </c>
      <c r="F214">
        <v>165000</v>
      </c>
      <c r="G214" t="str">
        <v>AB</v>
      </c>
    </row>
    <row r="215">
      <c r="A215">
        <v>46300</v>
      </c>
      <c r="B215" t="str">
        <v>VP</v>
      </c>
      <c r="C215" t="str">
        <v>Văn phòng</v>
      </c>
      <c r="D215" t="str">
        <v>Phí rút tiền</v>
      </c>
      <c r="F215">
        <v>48500</v>
      </c>
      <c r="G215" t="str">
        <v>VT</v>
      </c>
    </row>
    <row r="216">
      <c r="A216">
        <v>46208</v>
      </c>
      <c r="B216" t="str">
        <v>VP</v>
      </c>
      <c r="C216" t="str">
        <v>Văn phòng</v>
      </c>
      <c r="D216" t="str">
        <v>Gia hạn Vshipel</v>
      </c>
      <c r="F216">
        <v>1944000</v>
      </c>
      <c r="G216" t="str">
        <v>CN</v>
      </c>
    </row>
    <row r="217">
      <c r="A217">
        <v>46300</v>
      </c>
      <c r="B217" t="str">
        <v>VG15</v>
      </c>
      <c r="C217" t="str">
        <v>3.Lương</v>
      </c>
      <c r="D217" t="str">
        <v>Ứng lương Lưu Quang Trường</v>
      </c>
      <c r="F217">
        <v>10000000</v>
      </c>
      <c r="G217" t="str">
        <v>CN</v>
      </c>
    </row>
    <row r="218">
      <c r="A218">
        <v>46331</v>
      </c>
      <c r="B218" t="str">
        <v>VG15</v>
      </c>
      <c r="C218" t="str">
        <v>1.Tàu Ứng</v>
      </c>
      <c r="D218" t="str">
        <v>Ứng tiền</v>
      </c>
      <c r="F218">
        <v>20000000</v>
      </c>
      <c r="G218" t="str">
        <v>AB</v>
      </c>
    </row>
    <row r="219">
      <c r="A219">
        <v>46331</v>
      </c>
      <c r="B219" t="str">
        <v>VG05</v>
      </c>
      <c r="C219" t="str">
        <v>2.Chi Phí Cảng</v>
      </c>
      <c r="D219" t="str">
        <v>Phí đại lý ở Quảng Ninh Hải Phòng</v>
      </c>
      <c r="F219">
        <v>5400000</v>
      </c>
      <c r="G219" t="str">
        <v>AB</v>
      </c>
      <c r="H219" t="str">
        <v>Hoàng Đăng</v>
      </c>
    </row>
    <row r="220">
      <c r="A220">
        <v>46331</v>
      </c>
      <c r="B220" t="str">
        <v>VG09</v>
      </c>
      <c r="C220" t="str">
        <v>9.Vật Tư</v>
      </c>
      <c r="D220" t="str">
        <v>Cấp VHF</v>
      </c>
      <c r="F220">
        <v>8640000</v>
      </c>
      <c r="G220" t="str">
        <v>AB</v>
      </c>
    </row>
    <row r="221">
      <c r="A221">
        <v>46361</v>
      </c>
      <c r="B221" t="str">
        <v>VG05</v>
      </c>
      <c r="C221" t="str">
        <v>6.Lãi Vay</v>
      </c>
      <c r="D221" t="str">
        <v>Lãi vay ngắn hạn AB</v>
      </c>
      <c r="F221">
        <v>17067444.266987763</v>
      </c>
      <c r="G221" t="str">
        <v>AB</v>
      </c>
    </row>
    <row r="222">
      <c r="A222">
        <v>46361</v>
      </c>
      <c r="B222" t="str">
        <v>VG09</v>
      </c>
      <c r="C222" t="str">
        <v>6.Lãi Vay</v>
      </c>
      <c r="D222" t="str">
        <v>Lãi vay ngắn hạn AB</v>
      </c>
      <c r="F222">
        <v>3492355.6398366913</v>
      </c>
      <c r="G222" t="str">
        <v>AB</v>
      </c>
    </row>
    <row r="223">
      <c r="A223">
        <v>46361</v>
      </c>
      <c r="B223" t="str">
        <v>VG15</v>
      </c>
      <c r="C223" t="str">
        <v>6.Lãi Vay</v>
      </c>
      <c r="D223" t="str">
        <v>Lãi vay ngắn hạn AB</v>
      </c>
      <c r="F223">
        <v>9038294.476973524</v>
      </c>
      <c r="G223" t="str">
        <v>AB</v>
      </c>
    </row>
    <row r="224">
      <c r="A224">
        <v>46361</v>
      </c>
      <c r="B224" t="str">
        <v>VG18</v>
      </c>
      <c r="C224" t="str">
        <v>6.Lãi Vay</v>
      </c>
      <c r="D224" t="str">
        <v>Lãi vay ngắn hạn AB</v>
      </c>
      <c r="F224">
        <v>24194342.65285629</v>
      </c>
      <c r="G224" t="str">
        <v>AB</v>
      </c>
    </row>
    <row r="225">
      <c r="A225">
        <v>46361</v>
      </c>
      <c r="B225" t="str">
        <v>VG36</v>
      </c>
      <c r="C225" t="str">
        <v>6.Lãi Vay</v>
      </c>
      <c r="D225" t="str">
        <v>Lãi vay ngắn hạn AB</v>
      </c>
      <c r="F225">
        <v>7896444.963345725</v>
      </c>
      <c r="G225" t="str">
        <v>AB</v>
      </c>
    </row>
    <row r="226">
      <c r="A226">
        <v>46361</v>
      </c>
      <c r="B226" t="str">
        <v>VG05</v>
      </c>
      <c r="C226" t="str">
        <v>CVC</v>
      </c>
      <c r="D226" t="str">
        <v>HD37 VG05 Xỉ Sơn Dương - Hậu Giang</v>
      </c>
      <c r="E226">
        <v>1011241000</v>
      </c>
      <c r="G226" t="str">
        <v>AB</v>
      </c>
      <c r="H226" t="str">
        <v>Ngọc Anh</v>
      </c>
    </row>
    <row r="227">
      <c r="A227">
        <v>46361</v>
      </c>
      <c r="B227" t="str">
        <v>VG36</v>
      </c>
      <c r="C227" t="str">
        <v>CVC</v>
      </c>
      <c r="D227" t="str">
        <v>HD38 VG36 Xỉ Sơn Dương - HCM</v>
      </c>
      <c r="E227">
        <v>1159860870</v>
      </c>
      <c r="G227" t="str">
        <v>AB</v>
      </c>
      <c r="H227" t="str">
        <v>Ngọc Anh</v>
      </c>
    </row>
    <row r="228">
      <c r="A228">
        <v>46361</v>
      </c>
      <c r="B228" t="str">
        <v>VG09</v>
      </c>
      <c r="C228" t="str">
        <v>CVC</v>
      </c>
      <c r="D228" t="str">
        <v>HD42 VG09 Xỉ Sơn Dương - Hậu Giang</v>
      </c>
      <c r="E228">
        <v>1288287000</v>
      </c>
      <c r="G228" t="str">
        <v>AB</v>
      </c>
      <c r="H228" t="str">
        <v>Ngọc Anh</v>
      </c>
    </row>
    <row r="229">
      <c r="A229">
        <v>46361</v>
      </c>
      <c r="B229" t="str">
        <v>VP</v>
      </c>
      <c r="C229" t="str">
        <v>Văn phòng</v>
      </c>
      <c r="D229" t="str">
        <v>Xăng xe</v>
      </c>
      <c r="F229">
        <v>1400000</v>
      </c>
      <c r="G229" t="str">
        <v>CN</v>
      </c>
    </row>
    <row r="230">
      <c r="A230">
        <v>46361</v>
      </c>
      <c r="B230" t="str">
        <v>VG09</v>
      </c>
      <c r="C230" t="str">
        <v>3.Lương</v>
      </c>
      <c r="D230" t="str">
        <v>Ứng lương Lê Ngọc Anh</v>
      </c>
      <c r="F230">
        <v>2000000</v>
      </c>
      <c r="G230" t="str">
        <v>CN</v>
      </c>
    </row>
    <row r="231">
      <c r="A231" t="str">
        <v>13/5/2026</v>
      </c>
      <c r="B231" t="str">
        <v>VG36</v>
      </c>
      <c r="C231" t="str">
        <v>5.Dầu LO</v>
      </c>
      <c r="D231" t="str">
        <v>Tạm ứng mua dầu nhờn</v>
      </c>
      <c r="F231">
        <v>2000000</v>
      </c>
      <c r="G231" t="str">
        <v>AB</v>
      </c>
      <c r="H231" t="str">
        <v>Cảng Chân Mây</v>
      </c>
    </row>
    <row r="232">
      <c r="A232" t="str">
        <v>13/5/2026</v>
      </c>
      <c r="B232" t="str">
        <v>VG09</v>
      </c>
      <c r="C232" t="str">
        <v>2.Chi Phí Cảng</v>
      </c>
      <c r="D232" t="str">
        <v>Tàu lai</v>
      </c>
      <c r="F232">
        <v>19000000</v>
      </c>
      <c r="G232" t="str">
        <v>AB</v>
      </c>
    </row>
    <row r="233">
      <c r="A233" t="str">
        <v>13/5/2026</v>
      </c>
      <c r="B233" t="str">
        <v>VG09</v>
      </c>
      <c r="C233" t="str">
        <v>CVC</v>
      </c>
      <c r="D233" t="str">
        <v>HD26 VG09 Cát Vĩnh Xương - Đà Nẵng</v>
      </c>
      <c r="E233">
        <v>347647150</v>
      </c>
      <c r="G233" t="str">
        <v>VT</v>
      </c>
      <c r="H233" t="str">
        <v>Hoàng Quyên</v>
      </c>
    </row>
    <row r="234">
      <c r="A234" t="str">
        <v>13/5/2026</v>
      </c>
      <c r="B234" t="str">
        <v>VG36</v>
      </c>
      <c r="C234" t="str">
        <v>3.Lương</v>
      </c>
      <c r="D234" t="str">
        <v>Ứng lương Nguyễn Văn Danh</v>
      </c>
      <c r="F234">
        <v>5000000</v>
      </c>
      <c r="G234" t="str">
        <v>CN</v>
      </c>
    </row>
    <row r="235">
      <c r="A235" t="str">
        <v>13/5/2026</v>
      </c>
      <c r="B235" t="str">
        <v>VG05</v>
      </c>
      <c r="C235" t="str">
        <v>CVC</v>
      </c>
      <c r="D235" t="str">
        <v>HD… VG05 Than Quảng Ninh - Hòn La</v>
      </c>
      <c r="E235">
        <v>180000000</v>
      </c>
      <c r="G235" t="str">
        <v>AB</v>
      </c>
      <c r="H235" t="str">
        <v>Bình Minh</v>
      </c>
    </row>
    <row r="236">
      <c r="A236" t="str">
        <v>14/5/2026</v>
      </c>
      <c r="B236" t="str">
        <v>VG18</v>
      </c>
      <c r="C236" t="str">
        <v>6.Lãi Vay</v>
      </c>
      <c r="D236" t="str">
        <v>Trả gốc vay ngắn hạn</v>
      </c>
      <c r="F236">
        <f>579215880+384989980-91000+1689869</f>
        <v>965804729</v>
      </c>
      <c r="G236" t="str">
        <v>AB</v>
      </c>
    </row>
    <row r="237">
      <c r="A237" t="str">
        <v>14/5/2026</v>
      </c>
      <c r="B237" t="str">
        <v>VG36</v>
      </c>
      <c r="C237" t="str">
        <v>6.Lãi Vay</v>
      </c>
      <c r="D237" t="str">
        <v>Trả gốc vay ngắn hạn</v>
      </c>
      <c r="F237">
        <v>735064640</v>
      </c>
      <c r="G237" t="str">
        <v>AB</v>
      </c>
    </row>
    <row r="238">
      <c r="A238" t="str">
        <v>27/5/2026</v>
      </c>
      <c r="B238" t="str">
        <v>VP</v>
      </c>
      <c r="D238" t="str">
        <v>Văn phòng</v>
      </c>
      <c r="E238" t="str">
        <v>Rút tiền đưa Ông</v>
      </c>
      <c r="G238">
        <v>400000000</v>
      </c>
      <c r="H238" t="str">
        <v>VT</v>
      </c>
    </row>
    <row r="239">
      <c r="A239" t="str">
        <v>27/5/2026</v>
      </c>
      <c r="B239" t="str">
        <v>VG15</v>
      </c>
      <c r="C239" t="str">
        <v>C10</v>
      </c>
      <c r="D239" t="str">
        <v>2.Chi Phí Cảng</v>
      </c>
      <c r="E239" t="str">
        <v>Cầu bến tại Huế</v>
      </c>
      <c r="G239">
        <v>18571540</v>
      </c>
      <c r="H239" t="str">
        <v>VT</v>
      </c>
    </row>
    <row r="240">
      <c r="A240" t="str">
        <v>27/5/2026</v>
      </c>
      <c r="B240" t="str">
        <v>VP</v>
      </c>
      <c r="D240" t="str">
        <v>Luân chuyển</v>
      </c>
      <c r="E240" t="str">
        <v>Chuyển tk Tùng</v>
      </c>
      <c r="G240">
        <v>1399956900</v>
      </c>
      <c r="H240" t="str">
        <v>VT</v>
      </c>
    </row>
    <row r="241">
      <c r="A241" t="str">
        <v>27/5/2026</v>
      </c>
      <c r="B241" t="str">
        <v>VP</v>
      </c>
      <c r="D241" t="str">
        <v>Luân chuyển</v>
      </c>
      <c r="E241" t="str">
        <v>Chuyển tk Tùng</v>
      </c>
      <c r="F241">
        <v>1399956900</v>
      </c>
      <c r="H241" t="str">
        <v>CN</v>
      </c>
    </row>
    <row r="242">
      <c r="A242" t="str">
        <v>27/5/2026</v>
      </c>
      <c r="B242" t="str">
        <v>VP</v>
      </c>
      <c r="D242" t="str">
        <v>3.Lương</v>
      </c>
      <c r="E242" t="str">
        <v>Lương C Phương Tháng 4</v>
      </c>
      <c r="G242">
        <v>20000000</v>
      </c>
      <c r="H242" t="str">
        <v>CN</v>
      </c>
    </row>
    <row r="243">
      <c r="A243" t="str">
        <v>27/5/2026</v>
      </c>
      <c r="B243" t="str">
        <v>VP</v>
      </c>
      <c r="D243" t="str">
        <v>3.Lương</v>
      </c>
      <c r="E243" t="str">
        <v>Lương Tùng Tháng 4</v>
      </c>
      <c r="G243">
        <v>40000000</v>
      </c>
      <c r="H243" t="str">
        <v>CN</v>
      </c>
    </row>
    <row r="244">
      <c r="A244" t="str">
        <v>27/5/2026</v>
      </c>
      <c r="B244" t="str">
        <v>VP</v>
      </c>
      <c r="D244" t="str">
        <v>3.Lương</v>
      </c>
      <c r="E244" t="str">
        <v>Lương Vĩnh Tháng 4</v>
      </c>
      <c r="G244">
        <v>67450000</v>
      </c>
      <c r="H244" t="str">
        <v>CN</v>
      </c>
    </row>
    <row r="245">
      <c r="A245" t="str">
        <v>27/5/2026</v>
      </c>
      <c r="B245" t="str">
        <v>VG05</v>
      </c>
      <c r="D245" t="str">
        <v>3.Lương</v>
      </c>
      <c r="E245" t="str">
        <v>Lương thuyền Viên Tháng 4</v>
      </c>
      <c r="G245">
        <v>199869500</v>
      </c>
      <c r="H245" t="str">
        <v>CN</v>
      </c>
    </row>
    <row r="246">
      <c r="A246" t="str">
        <v>27/5/2026</v>
      </c>
      <c r="B246" t="str">
        <v>VG09</v>
      </c>
      <c r="D246" t="str">
        <v>3.Lương</v>
      </c>
      <c r="E246" t="str">
        <v>Lương thuyền Viên Tháng 4</v>
      </c>
      <c r="G246">
        <v>204731500</v>
      </c>
      <c r="H246" t="str">
        <v>CN</v>
      </c>
    </row>
    <row r="247">
      <c r="A247" t="str">
        <v>27/5/2026</v>
      </c>
      <c r="B247" t="str">
        <v>VG15</v>
      </c>
      <c r="D247" t="str">
        <v>3.Lương</v>
      </c>
      <c r="E247" t="str">
        <v>Lương thuyền Viên Tháng 4</v>
      </c>
      <c r="G247">
        <v>202571500</v>
      </c>
      <c r="H247" t="str">
        <v>CN</v>
      </c>
    </row>
    <row r="248">
      <c r="A248" t="str">
        <v>27/5/2026</v>
      </c>
      <c r="B248" t="str">
        <v>VG18</v>
      </c>
      <c r="D248" t="str">
        <v>3.Lương</v>
      </c>
      <c r="E248" t="str">
        <v>Lương thuyền Viên Tháng 4</v>
      </c>
      <c r="G248">
        <v>223093500</v>
      </c>
      <c r="H248" t="str">
        <v>CN</v>
      </c>
    </row>
    <row r="249">
      <c r="A249" t="str">
        <v>27/5/2026</v>
      </c>
      <c r="B249" t="str">
        <v>VG36</v>
      </c>
      <c r="D249" t="str">
        <v>3.Lương</v>
      </c>
      <c r="E249" t="str">
        <v>Lương thuyền Viên Tháng 4</v>
      </c>
      <c r="G249">
        <v>198776167</v>
      </c>
      <c r="H249" t="str">
        <v>CN</v>
      </c>
    </row>
    <row r="250">
      <c r="A250" t="str">
        <v>27/5/2026</v>
      </c>
      <c r="B250" t="str">
        <v>VG15</v>
      </c>
      <c r="D250" t="str">
        <v>3.Lương</v>
      </c>
      <c r="E250" t="str">
        <v>Thu tiền ứng trước Lưu Quang Trường (ất)</v>
      </c>
      <c r="F250">
        <v>4000000</v>
      </c>
      <c r="H250" t="str">
        <v>CN</v>
      </c>
    </row>
    <row r="251">
      <c r="A251" t="str">
        <v>27/5/2026</v>
      </c>
      <c r="B251" t="str">
        <v>VG09</v>
      </c>
      <c r="D251" t="str">
        <v>3.Lương</v>
      </c>
      <c r="E251" t="str">
        <v>Thu tiền ứng trước Lê Ngọc Anh</v>
      </c>
      <c r="F251">
        <v>2000000</v>
      </c>
      <c r="H251" t="str">
        <v>CN</v>
      </c>
    </row>
    <row r="252">
      <c r="A252" t="str">
        <v>27/5/2026</v>
      </c>
      <c r="B252" t="str">
        <v>VG36</v>
      </c>
      <c r="D252" t="str">
        <v>3.Lương</v>
      </c>
      <c r="E252" t="str">
        <v>Thu tiền ứng trước Danh</v>
      </c>
      <c r="F252">
        <v>5000000</v>
      </c>
      <c r="H252" t="str">
        <v>CN</v>
      </c>
    </row>
    <row r="253">
      <c r="A253" t="str">
        <v>27/5/2026</v>
      </c>
      <c r="B253" t="str">
        <v>VG15</v>
      </c>
      <c r="D253" t="str">
        <v>3.Lương</v>
      </c>
      <c r="E253" t="str">
        <v>Ứng lương Lê Ngọc Hoa</v>
      </c>
      <c r="G253">
        <v>5000000</v>
      </c>
      <c r="H253" t="str">
        <v>CN</v>
      </c>
    </row>
    <row r="254">
      <c r="A254" t="str">
        <v>27/5/2026</v>
      </c>
      <c r="B254" t="str">
        <v>VG18</v>
      </c>
      <c r="D254" t="str">
        <v>3.Lương</v>
      </c>
      <c r="E254" t="str">
        <v>Ứng lương Lê Văn Hùng</v>
      </c>
      <c r="G254">
        <v>10000000</v>
      </c>
      <c r="H254" t="str">
        <v>CN</v>
      </c>
    </row>
    <row r="255">
      <c r="A255" t="str">
        <v>27/5/2026</v>
      </c>
      <c r="B255" t="str">
        <v>VG18</v>
      </c>
      <c r="D255" t="str">
        <v>3.Lương</v>
      </c>
      <c r="E255" t="str">
        <v>Ứng lương Châu</v>
      </c>
      <c r="G255">
        <v>5000000</v>
      </c>
      <c r="H255" t="str">
        <v>CN</v>
      </c>
    </row>
    <row r="285">
      <c r="K285">
        <v>13900000</v>
      </c>
    </row>
  </sheetData>
  <autoFilter ref="A9:V234"/>
  <pageMargins left="0.7" right="0.7" top="0.75" bottom="0.75" header="0.3" footer="0.3"/>
  <ignoredErrors>
    <ignoredError numberStoredAsText="1" sqref="A2:V29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120"/>
  <sheetViews>
    <sheetView workbookViewId="0" rightToLeft="0"/>
  </sheetViews>
  <sheetData>
    <row r="1">
      <c r="A1" t="str">
        <v>BẢNG TỔNG HỢP THU CHI</v>
      </c>
    </row>
    <row r="4">
      <c r="A4" t="str">
        <v>1. Tiền Thu về</v>
      </c>
    </row>
    <row r="5">
      <c r="D5" t="str">
        <v>Nội dung</v>
      </c>
      <c r="E5" t="str">
        <v>Số tiền</v>
      </c>
    </row>
    <row r="6">
      <c r="A6" t="str" cm="1">
        <f t="array" ref="A6:H13">_xlws.FILTER($A$30:$H$105, $C$30:$C$105="CVC", "Không có dữ liệu")</f>
        <v>15/4/2026</v>
      </c>
      <c r="B6" t="str">
        <v>VG09</v>
      </c>
      <c r="C6" t="str">
        <v>CVC</v>
      </c>
      <c r="D6" t="str">
        <v>HD29 VG09 Xỉ Sơn Dương - XM Tây Đô</v>
      </c>
      <c r="E6">
        <v>490770750</v>
      </c>
      <c r="F6">
        <v>0</v>
      </c>
      <c r="G6" t="str">
        <v>AB</v>
      </c>
      <c r="H6" t="str">
        <v>Ngọc Anh</v>
      </c>
    </row>
    <row r="7">
      <c r="A7" t="str">
        <v>16/4/2026</v>
      </c>
      <c r="B7" t="str">
        <v>VG09</v>
      </c>
      <c r="C7" t="str">
        <v>CVC</v>
      </c>
      <c r="D7" t="str">
        <v>HD26 VG09 Cát Vĩnh Xương - Đà Nẵng</v>
      </c>
      <c r="E7">
        <v>297037450</v>
      </c>
      <c r="F7">
        <v>0</v>
      </c>
      <c r="G7" t="str">
        <v>VT</v>
      </c>
      <c r="H7" t="str">
        <v>Hoàng Quyên</v>
      </c>
    </row>
    <row r="8">
      <c r="A8" t="str">
        <v>16/4/2026</v>
      </c>
      <c r="B8" t="str">
        <v>VG09</v>
      </c>
      <c r="C8" t="str">
        <v>CVC</v>
      </c>
      <c r="D8" t="str">
        <v>HD50 VG09 Cát Vĩnh Xương - Huy Văn</v>
      </c>
      <c r="E8">
        <v>50000000</v>
      </c>
      <c r="F8">
        <v>0</v>
      </c>
      <c r="G8" t="str">
        <v>AB</v>
      </c>
      <c r="H8" t="str">
        <v>Bình Minh</v>
      </c>
    </row>
    <row r="9">
      <c r="A9" t="str">
        <v>23/4/2026</v>
      </c>
      <c r="B9" t="str">
        <v>VG09</v>
      </c>
      <c r="C9" t="str">
        <v>CVC</v>
      </c>
      <c r="D9" t="str">
        <v>HD29 VG09 Xỉ Sơn Dương - XM Tây Đô</v>
      </c>
      <c r="E9">
        <v>646829250</v>
      </c>
      <c r="F9">
        <v>0</v>
      </c>
      <c r="G9" t="str">
        <v>AB</v>
      </c>
      <c r="H9" t="str">
        <v>Ngọc Anh</v>
      </c>
    </row>
    <row r="10">
      <c r="A10" t="str">
        <v>28/4/2026</v>
      </c>
      <c r="B10" t="str">
        <v>VG09</v>
      </c>
      <c r="C10" t="str">
        <v>CVC</v>
      </c>
      <c r="D10" t="str">
        <v>HD50 VG09 Cát Vĩnh Xương - Huy Văn</v>
      </c>
      <c r="E10">
        <v>300000000</v>
      </c>
      <c r="F10">
        <v>0</v>
      </c>
      <c r="G10" t="str">
        <v>AB</v>
      </c>
      <c r="H10" t="str">
        <v>Bình Minh</v>
      </c>
    </row>
    <row r="11">
      <c r="A11">
        <v>46361</v>
      </c>
      <c r="B11" t="str">
        <v>VG09</v>
      </c>
      <c r="C11" t="str">
        <v>CVC</v>
      </c>
      <c r="D11" t="str">
        <v>HD42 VG09 Xỉ Sơn Dương - Hậu Giang</v>
      </c>
      <c r="E11">
        <v>1288287000</v>
      </c>
      <c r="F11">
        <v>0</v>
      </c>
      <c r="G11" t="str">
        <v>AB</v>
      </c>
      <c r="H11" t="str">
        <v>Ngọc Anh</v>
      </c>
    </row>
    <row r="12">
      <c r="A12" t="str">
        <v>13/5/2026</v>
      </c>
      <c r="B12" t="str">
        <v>VG09</v>
      </c>
      <c r="C12" t="str">
        <v>CVC</v>
      </c>
      <c r="D12" t="str">
        <v>HD26 VG09 Cát Vĩnh Xương - Đà Nẵng</v>
      </c>
      <c r="E12">
        <v>347647150</v>
      </c>
      <c r="F12">
        <v>0</v>
      </c>
      <c r="G12" t="str">
        <v>VT</v>
      </c>
      <c r="H12" t="str">
        <v>Hoàng Quyên</v>
      </c>
    </row>
    <row r="13">
      <c r="A13" t="str">
        <v>14/5/2026</v>
      </c>
      <c r="B13" t="str">
        <v>VG09</v>
      </c>
      <c r="C13" t="str">
        <v>CVC</v>
      </c>
      <c r="D13" t="str">
        <v>HD50 VG09 Cát Vĩnh Xương - Huy Văn</v>
      </c>
      <c r="E13">
        <v>230000000</v>
      </c>
      <c r="F13">
        <v>0</v>
      </c>
      <c r="G13" t="str">
        <v>AB</v>
      </c>
      <c r="H13" t="str">
        <v>Bình Minh</v>
      </c>
    </row>
    <row r="16">
      <c r="C16" t="str">
        <v>Tổng cộng</v>
      </c>
      <c r="D16">
        <f>+SUM(D1:D15)</f>
        <v>0</v>
      </c>
      <c r="E16">
        <f>+SUM(E6:E15)-SUM(F6:F15)</f>
        <v>3650571600</v>
      </c>
    </row>
    <row r="17">
      <c r="A17" t="str">
        <v>2. Chi phí</v>
      </c>
    </row>
    <row r="18">
      <c r="A18" t="str">
        <v>Tàu</v>
      </c>
      <c r="B18" t="str">
        <v>VG09</v>
      </c>
      <c r="C18" t="str">
        <v>1.Tàu Ứng</v>
      </c>
      <c r="E18">
        <f>+SUMIF($C$31:$C$500,C18,$F$31:$F$500)</f>
        <v>162891791.66666666</v>
      </c>
    </row>
    <row r="19">
      <c r="C19" t="str">
        <v>2.Chi Phí Cảng</v>
      </c>
      <c r="E19">
        <f>+SUMIF($C$31:$C$500,C19,$F$31:$F$500)</f>
        <v>235979078</v>
      </c>
    </row>
    <row r="20">
      <c r="C20" t="str">
        <v>3.Lương</v>
      </c>
      <c r="E20">
        <f>+SUMIF($C$31:$C$500,C20,$F$31:$F$500)</f>
        <v>201694833.33333334</v>
      </c>
    </row>
    <row r="21">
      <c r="C21" t="str">
        <v>4.Dầu DO</v>
      </c>
      <c r="E21">
        <f>+SUMIF($C$31:$C$500,C21,$F$31:$F$500)</f>
        <v>1164574430</v>
      </c>
    </row>
    <row r="22">
      <c r="C22" t="str">
        <v>5.Dầu LO</v>
      </c>
      <c r="E22">
        <f>+SUMIF($C$31:$C$500,C22,$F$31:$F$500)</f>
        <v>59500000</v>
      </c>
    </row>
    <row r="23">
      <c r="C23" t="str">
        <v>6.Lãi Vay</v>
      </c>
      <c r="E23">
        <f>+SUMIF($C$31:$C$500,C23,$F$31:$F$500)</f>
        <v>6984711.279673383</v>
      </c>
    </row>
    <row r="24">
      <c r="C24" t="str">
        <v>7.Bảo Hiểm</v>
      </c>
      <c r="E24">
        <f>+SUMIF($C$31:$C$500,C24,$F$31:$F$500)</f>
        <v>21664000</v>
      </c>
    </row>
    <row r="25">
      <c r="C25" t="str">
        <v>8.VAT</v>
      </c>
      <c r="E25">
        <f>+SUMIF($C$31:$C$500,C25,$F$31:$F$500)</f>
        <v>0</v>
      </c>
    </row>
    <row r="26">
      <c r="C26" t="str">
        <v>9.Vật Tư</v>
      </c>
      <c r="E26">
        <f>+SUMIF($C$31:$C$500,C26,$F$31:$F$500)</f>
        <v>84920146</v>
      </c>
    </row>
    <row r="27">
      <c r="C27" t="str">
        <v>Văn phòng</v>
      </c>
      <c r="E27">
        <f>+SUMIF($C$31:$C$500,C27,$F$31:$F$500)</f>
        <v>0</v>
      </c>
      <c r="F27">
        <f>+SUMIF($C$31:$C$500,C27,$E$31:$E$500)</f>
        <v>0</v>
      </c>
    </row>
    <row r="28">
      <c r="C28" t="str">
        <v>Tổng cộng</v>
      </c>
      <c r="D28">
        <f>+SUM(D18:D27)</f>
        <v>0</v>
      </c>
      <c r="E28">
        <f>+SUM(E18:E27)</f>
        <v>1938208990.2796733</v>
      </c>
    </row>
    <row r="30">
      <c r="A30" t="str">
        <v>Ngày</v>
      </c>
      <c r="B30" t="str">
        <v>Tàu</v>
      </c>
      <c r="C30" t="str">
        <v>Hạng Mục</v>
      </c>
      <c r="D30" t="str">
        <v>Nội Dung</v>
      </c>
      <c r="E30" t="str">
        <v>Thu</v>
      </c>
      <c r="F30" t="str">
        <v>Chi</v>
      </c>
      <c r="G30" t="str">
        <v>Tài Khoản</v>
      </c>
      <c r="H30" t="str">
        <v>NCC</v>
      </c>
    </row>
    <row r="31">
      <c r="A31" cm="1">
        <f t="array" ref="A31:H70">_xlws.SORT(_xlws.FILTER('THU-CHI'!A10:H1670, 'THU-CHI'!B10:B1670=B18), 3, 1)</f>
        <v>46085</v>
      </c>
      <c r="B31" t="str">
        <v>VG09</v>
      </c>
      <c r="C31" t="str">
        <v>1.Tàu Ứng</v>
      </c>
      <c r="D31" t="str">
        <v>Ứng tiền</v>
      </c>
      <c r="E31">
        <v>0</v>
      </c>
      <c r="F31">
        <v>40000000</v>
      </c>
      <c r="G31" t="str">
        <v>AB</v>
      </c>
      <c r="H31">
        <v>0</v>
      </c>
    </row>
    <row r="32">
      <c r="A32">
        <v>46177</v>
      </c>
      <c r="B32" t="str">
        <v>VG09</v>
      </c>
      <c r="C32" t="str">
        <v>1.Tàu Ứng</v>
      </c>
      <c r="D32" t="str">
        <v>Ứng tiền</v>
      </c>
      <c r="E32">
        <v>0</v>
      </c>
      <c r="F32">
        <v>20000000</v>
      </c>
      <c r="G32" t="str">
        <v>AB</v>
      </c>
      <c r="H32">
        <v>0</v>
      </c>
    </row>
    <row r="33">
      <c r="A33" t="str">
        <v>13/4/2026</v>
      </c>
      <c r="B33" t="str">
        <v>VG09</v>
      </c>
      <c r="C33" t="str">
        <v>1.Tàu Ứng</v>
      </c>
      <c r="D33" t="str">
        <v>Ứng tiền</v>
      </c>
      <c r="E33">
        <v>0</v>
      </c>
      <c r="F33">
        <v>20000000</v>
      </c>
      <c r="G33" t="str">
        <v>AB</v>
      </c>
      <c r="H33">
        <v>0</v>
      </c>
    </row>
    <row r="34">
      <c r="A34" t="str">
        <v>20/4/2026</v>
      </c>
      <c r="B34" t="str">
        <v>VG09</v>
      </c>
      <c r="C34" t="str">
        <v>1.Tàu Ứng</v>
      </c>
      <c r="D34" t="str">
        <v>Ứng tiền</v>
      </c>
      <c r="E34">
        <v>0</v>
      </c>
      <c r="F34">
        <v>30000000</v>
      </c>
      <c r="G34" t="str">
        <v>AB</v>
      </c>
      <c r="H34">
        <v>0</v>
      </c>
    </row>
    <row r="35">
      <c r="A35" t="str">
        <v>30/4/2026</v>
      </c>
      <c r="B35" t="str">
        <v>VG09</v>
      </c>
      <c r="C35" t="str">
        <v>1.Tàu Ứng</v>
      </c>
      <c r="D35" t="str">
        <v>Ứng tiền</v>
      </c>
      <c r="E35">
        <v>0</v>
      </c>
      <c r="F35">
        <v>52891791.666666664</v>
      </c>
      <c r="G35" t="str">
        <v>VT</v>
      </c>
      <c r="H35">
        <v>0</v>
      </c>
    </row>
    <row r="36">
      <c r="A36">
        <v>46085</v>
      </c>
      <c r="B36" t="str">
        <v>VG09</v>
      </c>
      <c r="C36" t="str">
        <v>2.Chi Phí Cảng</v>
      </c>
      <c r="D36" t="str">
        <v>Đại lý C6 tại Cần Thơ</v>
      </c>
      <c r="E36">
        <v>0</v>
      </c>
      <c r="F36">
        <v>21699456</v>
      </c>
      <c r="G36" t="str">
        <v>AB</v>
      </c>
      <c r="H36" t="str">
        <v>Sông Hậu</v>
      </c>
    </row>
    <row r="37">
      <c r="A37">
        <v>46146</v>
      </c>
      <c r="B37" t="str">
        <v>VG09</v>
      </c>
      <c r="C37" t="str">
        <v>2.Chi Phí Cảng</v>
      </c>
      <c r="D37" t="str">
        <v>Tàu lai tại Đà Nẵng C7</v>
      </c>
      <c r="E37">
        <v>0</v>
      </c>
      <c r="F37">
        <v>9979200</v>
      </c>
      <c r="G37" t="str">
        <v>AB</v>
      </c>
      <c r="H37">
        <v>0</v>
      </c>
    </row>
    <row r="38">
      <c r="A38">
        <v>46146</v>
      </c>
      <c r="B38" t="str">
        <v>VG09</v>
      </c>
      <c r="C38" t="str">
        <v>2.Chi Phí Cảng</v>
      </c>
      <c r="D38" t="str">
        <v>Cầu bến tại Đà Nẵng C7</v>
      </c>
      <c r="E38">
        <v>0</v>
      </c>
      <c r="F38">
        <v>5826506</v>
      </c>
      <c r="G38" t="str">
        <v>AB</v>
      </c>
      <c r="H38">
        <v>0</v>
      </c>
    </row>
    <row r="39">
      <c r="A39">
        <v>46299</v>
      </c>
      <c r="B39" t="str">
        <v>VG09</v>
      </c>
      <c r="C39" t="str">
        <v>2.Chi Phí Cảng</v>
      </c>
      <c r="D39" t="str">
        <v>Đại lý C7 tại Vĩnh Xương</v>
      </c>
      <c r="E39">
        <v>0</v>
      </c>
      <c r="F39">
        <v>56448916</v>
      </c>
      <c r="G39" t="str">
        <v>AB</v>
      </c>
      <c r="H39" t="str">
        <v>Sông Hậu</v>
      </c>
    </row>
    <row r="40">
      <c r="A40" t="str">
        <v>23/4/2026</v>
      </c>
      <c r="B40" t="str">
        <v>VG09</v>
      </c>
      <c r="C40" t="str">
        <v>2.Chi Phí Cảng</v>
      </c>
      <c r="D40" t="str">
        <v>Đại lý C8 tại Sơn Dương</v>
      </c>
      <c r="E40">
        <v>0</v>
      </c>
      <c r="F40">
        <v>41383000</v>
      </c>
      <c r="G40" t="str">
        <v>AB</v>
      </c>
      <c r="H40" t="str">
        <v>Lê Phạm</v>
      </c>
    </row>
    <row r="41">
      <c r="A41">
        <v>46147</v>
      </c>
      <c r="B41" t="str">
        <v>VG09</v>
      </c>
      <c r="C41" t="str">
        <v>2.Chi Phí Cảng</v>
      </c>
      <c r="D41" t="str">
        <v>Đại lý Sơng Hậu tại Hậu Giang C8</v>
      </c>
      <c r="E41">
        <v>0</v>
      </c>
      <c r="F41">
        <v>15969000</v>
      </c>
      <c r="G41" t="str">
        <v>AB</v>
      </c>
      <c r="H41" t="str">
        <v>Sông Hậu</v>
      </c>
    </row>
    <row r="42">
      <c r="A42">
        <v>46147</v>
      </c>
      <c r="B42" t="str">
        <v>VG09</v>
      </c>
      <c r="C42" t="str">
        <v>2.Chi Phí Cảng</v>
      </c>
      <c r="D42" t="str">
        <v>Đại lý Sông Hậu tại VĨnh Xương C9</v>
      </c>
      <c r="E42">
        <v>0</v>
      </c>
      <c r="F42">
        <v>50353000</v>
      </c>
      <c r="G42" t="str">
        <v>AB</v>
      </c>
      <c r="H42" t="str">
        <v>Sông Hậu</v>
      </c>
    </row>
    <row r="43">
      <c r="A43">
        <v>46239</v>
      </c>
      <c r="B43" t="str">
        <v>VG09</v>
      </c>
      <c r="C43" t="str">
        <v>2.Chi Phí Cảng</v>
      </c>
      <c r="D43" t="str">
        <v>Đại lý ngoài</v>
      </c>
      <c r="E43">
        <v>0</v>
      </c>
      <c r="F43">
        <v>11000000</v>
      </c>
      <c r="G43" t="str">
        <v>CN</v>
      </c>
      <c r="H43" t="str">
        <v>Hoàng Đăng</v>
      </c>
    </row>
    <row r="44">
      <c r="A44">
        <v>46239</v>
      </c>
      <c r="B44" t="str">
        <v>VG09</v>
      </c>
      <c r="C44" t="str">
        <v>2.Chi Phí Cảng</v>
      </c>
      <c r="D44" t="str">
        <v>Hoa tiêu C9 Cát tại Huy Văn</v>
      </c>
      <c r="E44">
        <v>0</v>
      </c>
      <c r="F44">
        <v>4320000</v>
      </c>
      <c r="G44" t="str">
        <v>AB</v>
      </c>
      <c r="H44">
        <v>0</v>
      </c>
    </row>
    <row r="45">
      <c r="A45" t="str">
        <v>13/5/2026</v>
      </c>
      <c r="B45" t="str">
        <v>VG09</v>
      </c>
      <c r="C45" t="str">
        <v>2.Chi Phí Cảng</v>
      </c>
      <c r="D45" t="str">
        <v>Tàu lai</v>
      </c>
      <c r="E45">
        <v>0</v>
      </c>
      <c r="F45">
        <v>19000000</v>
      </c>
      <c r="G45" t="str">
        <v>AB</v>
      </c>
      <c r="H45">
        <v>0</v>
      </c>
    </row>
    <row r="46">
      <c r="A46" t="str">
        <v>30/4/2026</v>
      </c>
      <c r="B46" t="str">
        <v>VG09</v>
      </c>
      <c r="C46" t="str">
        <v>3.Lương</v>
      </c>
      <c r="D46" t="str">
        <v>Lương Tháng 3</v>
      </c>
      <c r="E46">
        <v>0</v>
      </c>
      <c r="F46">
        <v>199694833.33333334</v>
      </c>
      <c r="G46" t="str">
        <v>VT</v>
      </c>
      <c r="H46">
        <v>0</v>
      </c>
    </row>
    <row r="47">
      <c r="A47">
        <v>46361</v>
      </c>
      <c r="B47" t="str">
        <v>VG09</v>
      </c>
      <c r="C47" t="str">
        <v>3.Lương</v>
      </c>
      <c r="D47" t="str">
        <v>Ứng lương Lê Ngọc Anh</v>
      </c>
      <c r="E47">
        <v>0</v>
      </c>
      <c r="F47">
        <v>2000000</v>
      </c>
      <c r="G47" t="str">
        <v>CN</v>
      </c>
      <c r="H47">
        <v>0</v>
      </c>
    </row>
    <row r="48">
      <c r="A48">
        <v>46085</v>
      </c>
      <c r="B48" t="str">
        <v>VG09</v>
      </c>
      <c r="C48" t="str">
        <v>4.Dầu DO</v>
      </c>
      <c r="D48" t="str">
        <v>Cấp dầu VG09</v>
      </c>
      <c r="E48">
        <v>0</v>
      </c>
      <c r="F48">
        <v>700000000</v>
      </c>
      <c r="G48" t="str">
        <v>AB</v>
      </c>
      <c r="H48" t="str">
        <v>PV Oil miền trung</v>
      </c>
    </row>
    <row r="49">
      <c r="A49">
        <v>46085</v>
      </c>
      <c r="B49" t="str">
        <v>VG09</v>
      </c>
      <c r="C49" t="str">
        <v>4.Dầu DO</v>
      </c>
      <c r="D49" t="str">
        <v>Cấp dầu VG09</v>
      </c>
      <c r="E49">
        <v>0</v>
      </c>
      <c r="F49">
        <v>138962500</v>
      </c>
      <c r="G49" t="str">
        <v>VT</v>
      </c>
      <c r="H49" t="str">
        <v>PV Oil miền trung</v>
      </c>
    </row>
    <row r="50">
      <c r="A50" t="str">
        <v>24/4/2026</v>
      </c>
      <c r="B50" t="str">
        <v>VG09</v>
      </c>
      <c r="C50" t="str">
        <v>4.Dầu DO</v>
      </c>
      <c r="D50" t="str">
        <v>Trả tiền dầu DO</v>
      </c>
      <c r="E50">
        <v>0</v>
      </c>
      <c r="F50">
        <v>325611930</v>
      </c>
      <c r="G50" t="str">
        <v>AB</v>
      </c>
      <c r="H50" t="str">
        <v>Petrotime</v>
      </c>
    </row>
    <row r="51">
      <c r="A51">
        <v>46147</v>
      </c>
      <c r="B51" t="str">
        <v>VG09</v>
      </c>
      <c r="C51" t="str">
        <v>5.Dầu LO</v>
      </c>
      <c r="D51" t="str">
        <v>Cấp LO VG09 ngày 14/3</v>
      </c>
      <c r="E51">
        <v>0</v>
      </c>
      <c r="F51">
        <v>59500000</v>
      </c>
      <c r="G51" t="str">
        <v>AB</v>
      </c>
      <c r="H51" t="str">
        <v>Nhất Minh Sơn</v>
      </c>
    </row>
    <row r="52">
      <c r="A52">
        <v>46299</v>
      </c>
      <c r="B52" t="str">
        <v>VG09</v>
      </c>
      <c r="C52" t="str">
        <v>6.Lãi Vay</v>
      </c>
      <c r="D52" t="str">
        <v>Lãi vay ngắn hạn AB</v>
      </c>
      <c r="E52">
        <v>0</v>
      </c>
      <c r="F52">
        <v>3492355.6398366913</v>
      </c>
      <c r="G52" t="str">
        <v>AB</v>
      </c>
      <c r="H52">
        <v>0</v>
      </c>
    </row>
    <row r="53">
      <c r="A53">
        <v>46361</v>
      </c>
      <c r="B53" t="str">
        <v>VG09</v>
      </c>
      <c r="C53" t="str">
        <v>6.Lãi Vay</v>
      </c>
      <c r="D53" t="str">
        <v>Lãi vay ngắn hạn AB</v>
      </c>
      <c r="E53">
        <v>0</v>
      </c>
      <c r="F53">
        <v>3492355.6398366913</v>
      </c>
      <c r="G53" t="str">
        <v>AB</v>
      </c>
      <c r="H53">
        <v>0</v>
      </c>
    </row>
    <row r="54">
      <c r="A54" t="str">
        <v>24/4/2026</v>
      </c>
      <c r="B54" t="str">
        <v>VG09</v>
      </c>
      <c r="C54" t="str">
        <v>7.Bảo Hiểm</v>
      </c>
      <c r="D54" t="str">
        <v>BHXH T3</v>
      </c>
      <c r="E54">
        <v>0</v>
      </c>
      <c r="F54">
        <v>21664000</v>
      </c>
      <c r="G54" t="str">
        <v>AB</v>
      </c>
      <c r="H54">
        <v>0</v>
      </c>
    </row>
    <row r="55">
      <c r="A55">
        <v>46085</v>
      </c>
      <c r="B55" t="str">
        <v>VG09</v>
      </c>
      <c r="C55" t="str">
        <v>9.Vật Tư</v>
      </c>
      <c r="D55" t="str">
        <v>Sơn HP</v>
      </c>
      <c r="E55">
        <v>0</v>
      </c>
      <c r="F55">
        <v>21112488</v>
      </c>
      <c r="G55" t="str">
        <v>AB</v>
      </c>
      <c r="H55">
        <v>0</v>
      </c>
    </row>
    <row r="56">
      <c r="A56" t="str">
        <v>14/4/2026</v>
      </c>
      <c r="B56" t="str">
        <v>VG09</v>
      </c>
      <c r="C56" t="str">
        <v>9.Vật Tư</v>
      </c>
      <c r="D56" t="str">
        <v>Đồ máy 24 + vật tư 3/4</v>
      </c>
      <c r="E56">
        <v>0</v>
      </c>
      <c r="F56">
        <v>4841000</v>
      </c>
      <c r="G56" t="str">
        <v>CN</v>
      </c>
      <c r="H56">
        <v>0</v>
      </c>
    </row>
    <row r="57">
      <c r="A57" t="str">
        <v>28/4/2026</v>
      </c>
      <c r="B57" t="str">
        <v>VG09</v>
      </c>
      <c r="C57" t="str">
        <v>9.Vật Tư</v>
      </c>
      <c r="D57" t="str">
        <v>Vật tư phụ</v>
      </c>
      <c r="E57">
        <v>0</v>
      </c>
      <c r="F57">
        <v>4306354</v>
      </c>
      <c r="G57" t="str">
        <v>VT</v>
      </c>
      <c r="H57" t="str">
        <v>Công ty Tố My</v>
      </c>
    </row>
    <row r="58">
      <c r="A58" t="str">
        <v>28/4/2026</v>
      </c>
      <c r="B58" t="str">
        <v>VG09</v>
      </c>
      <c r="C58" t="str">
        <v>9.Vật Tư</v>
      </c>
      <c r="D58" t="str">
        <v>Sơn HP</v>
      </c>
      <c r="E58">
        <v>0</v>
      </c>
      <c r="F58">
        <v>14220000</v>
      </c>
      <c r="G58" t="str">
        <v>AB</v>
      </c>
      <c r="H58" t="str">
        <v>Sơn HP</v>
      </c>
    </row>
    <row r="59">
      <c r="A59">
        <v>46147</v>
      </c>
      <c r="B59" t="str">
        <v>VG09</v>
      </c>
      <c r="C59" t="str">
        <v>9.Vật Tư</v>
      </c>
      <c r="D59" t="str">
        <v>Lắp đặt Camera</v>
      </c>
      <c r="E59">
        <v>0</v>
      </c>
      <c r="F59">
        <v>17550000</v>
      </c>
      <c r="G59" t="str">
        <v>AB</v>
      </c>
      <c r="H59">
        <v>0</v>
      </c>
    </row>
    <row r="60">
      <c r="A60">
        <v>46239</v>
      </c>
      <c r="B60" t="str">
        <v>VG09</v>
      </c>
      <c r="C60" t="str">
        <v>9.Vật Tư</v>
      </c>
      <c r="D60" t="str">
        <v>Đồ máy 24</v>
      </c>
      <c r="E60">
        <v>0</v>
      </c>
      <c r="F60">
        <v>460000</v>
      </c>
      <c r="G60" t="str">
        <v>CN</v>
      </c>
      <c r="H60">
        <v>0</v>
      </c>
    </row>
    <row r="61">
      <c r="A61">
        <v>46239</v>
      </c>
      <c r="B61" t="str">
        <v>VG09</v>
      </c>
      <c r="C61" t="str">
        <v>9.Vật Tư</v>
      </c>
      <c r="D61" t="str">
        <v>Vật tư + Sửa chữa máy T3</v>
      </c>
      <c r="E61">
        <v>0</v>
      </c>
      <c r="F61">
        <v>13790304</v>
      </c>
      <c r="G61" t="str">
        <v>AB</v>
      </c>
      <c r="H61">
        <v>0</v>
      </c>
    </row>
    <row r="62">
      <c r="A62">
        <v>46331</v>
      </c>
      <c r="B62" t="str">
        <v>VG09</v>
      </c>
      <c r="C62" t="str">
        <v>9.Vật Tư</v>
      </c>
      <c r="D62" t="str">
        <v>Cấp VHF</v>
      </c>
      <c r="E62">
        <v>0</v>
      </c>
      <c r="F62">
        <v>8640000</v>
      </c>
      <c r="G62" t="str">
        <v>AB</v>
      </c>
      <c r="H62">
        <v>0</v>
      </c>
    </row>
    <row r="63">
      <c r="A63" t="str">
        <v>15/4/2026</v>
      </c>
      <c r="B63" t="str">
        <v>VG09</v>
      </c>
      <c r="C63" t="str">
        <v>CVC</v>
      </c>
      <c r="D63" t="str">
        <v>HD29 VG09 Xỉ Sơn Dương - XM Tây Đô</v>
      </c>
      <c r="E63">
        <v>490770750</v>
      </c>
      <c r="F63">
        <v>0</v>
      </c>
      <c r="G63" t="str">
        <v>AB</v>
      </c>
      <c r="H63" t="str">
        <v>Ngọc Anh</v>
      </c>
    </row>
    <row r="64">
      <c r="A64" t="str">
        <v>16/4/2026</v>
      </c>
      <c r="B64" t="str">
        <v>VG09</v>
      </c>
      <c r="C64" t="str">
        <v>CVC</v>
      </c>
      <c r="D64" t="str">
        <v>HD26 VG09 Cát Vĩnh Xương - Đà Nẵng</v>
      </c>
      <c r="E64">
        <v>297037450</v>
      </c>
      <c r="F64">
        <v>0</v>
      </c>
      <c r="G64" t="str">
        <v>VT</v>
      </c>
      <c r="H64" t="str">
        <v>Hoàng Quyên</v>
      </c>
    </row>
    <row r="65">
      <c r="A65" t="str">
        <v>16/4/2026</v>
      </c>
      <c r="B65" t="str">
        <v>VG09</v>
      </c>
      <c r="C65" t="str">
        <v>CVC</v>
      </c>
      <c r="D65" t="str">
        <v>HD50 VG09 Cát Vĩnh Xương - Huy Văn</v>
      </c>
      <c r="E65">
        <v>50000000</v>
      </c>
      <c r="F65">
        <v>0</v>
      </c>
      <c r="G65" t="str">
        <v>AB</v>
      </c>
      <c r="H65" t="str">
        <v>Bình Minh</v>
      </c>
    </row>
    <row r="66">
      <c r="A66" t="str">
        <v>23/4/2026</v>
      </c>
      <c r="B66" t="str">
        <v>VG09</v>
      </c>
      <c r="C66" t="str">
        <v>CVC</v>
      </c>
      <c r="D66" t="str">
        <v>HD29 VG09 Xỉ Sơn Dương - XM Tây Đô</v>
      </c>
      <c r="E66">
        <v>646829250</v>
      </c>
      <c r="F66">
        <v>0</v>
      </c>
      <c r="G66" t="str">
        <v>AB</v>
      </c>
      <c r="H66" t="str">
        <v>Ngọc Anh</v>
      </c>
    </row>
    <row r="67">
      <c r="A67" t="str">
        <v>28/4/2026</v>
      </c>
      <c r="B67" t="str">
        <v>VG09</v>
      </c>
      <c r="C67" t="str">
        <v>CVC</v>
      </c>
      <c r="D67" t="str">
        <v>HD50 VG09 Cát Vĩnh Xương - Huy Văn</v>
      </c>
      <c r="E67">
        <v>300000000</v>
      </c>
      <c r="F67">
        <v>0</v>
      </c>
      <c r="G67" t="str">
        <v>AB</v>
      </c>
      <c r="H67" t="str">
        <v>Bình Minh</v>
      </c>
    </row>
    <row r="68">
      <c r="A68">
        <v>46361</v>
      </c>
      <c r="B68" t="str">
        <v>VG09</v>
      </c>
      <c r="C68" t="str">
        <v>CVC</v>
      </c>
      <c r="D68" t="str">
        <v>HD42 VG09 Xỉ Sơn Dương - Hậu Giang</v>
      </c>
      <c r="E68">
        <v>1288287000</v>
      </c>
      <c r="F68">
        <v>0</v>
      </c>
      <c r="G68" t="str">
        <v>AB</v>
      </c>
      <c r="H68" t="str">
        <v>Ngọc Anh</v>
      </c>
    </row>
    <row r="69">
      <c r="A69" t="str">
        <v>13/5/2026</v>
      </c>
      <c r="B69" t="str">
        <v>VG09</v>
      </c>
      <c r="C69" t="str">
        <v>CVC</v>
      </c>
      <c r="D69" t="str">
        <v>HD26 VG09 Cát Vĩnh Xương - Đà Nẵng</v>
      </c>
      <c r="E69">
        <v>347647150</v>
      </c>
      <c r="F69">
        <v>0</v>
      </c>
      <c r="G69" t="str">
        <v>VT</v>
      </c>
      <c r="H69" t="str">
        <v>Hoàng Quyên</v>
      </c>
    </row>
    <row r="70">
      <c r="A70" t="str">
        <v>14/5/2026</v>
      </c>
      <c r="B70" t="str">
        <v>VG09</v>
      </c>
      <c r="C70" t="str">
        <v>CVC</v>
      </c>
      <c r="D70" t="str">
        <v>HD50 VG09 Cát Vĩnh Xương - Huy Văn</v>
      </c>
      <c r="E70">
        <v>230000000</v>
      </c>
      <c r="F70">
        <v>0</v>
      </c>
      <c r="G70" t="str">
        <v>AB</v>
      </c>
      <c r="H70" t="str">
        <v>Bình Minh</v>
      </c>
    </row>
  </sheetData>
  <mergeCells count="2">
    <mergeCell ref="A1:H2"/>
    <mergeCell ref="A3:H3"/>
  </mergeCells>
  <pageMargins left="0.7" right="0.7" top="0.75" bottom="0.75" header="0.3" footer="0.3"/>
  <ignoredErrors>
    <ignoredError numberStoredAsText="1" sqref="A1:H12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520"/>
  <sheetViews>
    <sheetView workbookViewId="0" rightToLeft="0"/>
  </sheetViews>
  <sheetData>
    <row r="1">
      <c r="A1" t="str">
        <v>BẢNG TỔNG HỢP THEO DÕI THU CHI</v>
      </c>
    </row>
    <row r="3">
      <c r="A3" t="str">
        <v>Nội Dung</v>
      </c>
      <c r="B3" t="str">
        <v>Sum of Chi</v>
      </c>
      <c r="C3" t="str">
        <v>Sum of Thu</v>
      </c>
    </row>
    <row r="4">
      <c r="A4" t="str">
        <v>1.Tàu Ứng</v>
      </c>
      <c r="B4">
        <v>856877275</v>
      </c>
    </row>
    <row r="5">
      <c r="A5" t="str">
        <v>VG05</v>
      </c>
      <c r="B5">
        <v>163670125</v>
      </c>
    </row>
    <row r="6">
      <c r="A6" t="str">
        <v>Ứng tiền</v>
      </c>
      <c r="B6">
        <v>163670125</v>
      </c>
    </row>
    <row r="7">
      <c r="A7" t="str">
        <v>VG09</v>
      </c>
      <c r="B7">
        <v>162891791.66666666</v>
      </c>
    </row>
    <row r="8">
      <c r="A8" t="str">
        <v>Ứng tiền</v>
      </c>
      <c r="B8">
        <v>162891791.66666666</v>
      </c>
    </row>
    <row r="9">
      <c r="A9" t="str">
        <v>VG15</v>
      </c>
      <c r="B9">
        <v>163100000</v>
      </c>
    </row>
    <row r="10">
      <c r="A10" t="str">
        <v>Ứng tiền</v>
      </c>
      <c r="B10">
        <v>163100000</v>
      </c>
    </row>
    <row r="11">
      <c r="A11" t="str">
        <v>VG18</v>
      </c>
      <c r="B11">
        <v>209000000</v>
      </c>
    </row>
    <row r="12">
      <c r="A12" t="str">
        <v>Ứng tiền</v>
      </c>
      <c r="B12">
        <v>209000000</v>
      </c>
    </row>
    <row r="13">
      <c r="A13" t="str">
        <v>VG36</v>
      </c>
      <c r="B13">
        <v>158215358.33333334</v>
      </c>
    </row>
    <row r="14">
      <c r="A14" t="str">
        <v>Ứng tiền</v>
      </c>
      <c r="B14">
        <v>158215358.33333334</v>
      </c>
    </row>
    <row r="15">
      <c r="A15" t="str">
        <v>2.Chi Phí Cảng</v>
      </c>
      <c r="B15">
        <v>1223855637</v>
      </c>
    </row>
    <row r="16">
      <c r="A16" t="str">
        <v>VG05</v>
      </c>
      <c r="B16">
        <v>122959443</v>
      </c>
    </row>
    <row r="17">
      <c r="A17" t="str">
        <v>Đại lý ngoài</v>
      </c>
      <c r="B17">
        <v>4000000</v>
      </c>
    </row>
    <row r="18">
      <c r="A18" t="str">
        <v>Đại lý Sông Hậu tại  Hậu Giang C10</v>
      </c>
      <c r="B18">
        <v>8331000</v>
      </c>
    </row>
    <row r="19">
      <c r="A19" t="str">
        <v>Đại lý Sông Hậu tại VĨnh Xương C11</v>
      </c>
      <c r="B19">
        <v>7000000</v>
      </c>
    </row>
    <row r="20">
      <c r="A20" t="str">
        <v>Đại lý tại Quảng Ninh</v>
      </c>
      <c r="B20">
        <v>4320000</v>
      </c>
    </row>
    <row r="21">
      <c r="A21" t="str">
        <v>Phí đại lý ở Quảng Ninh Hải Phòng</v>
      </c>
      <c r="B21">
        <v>5400000</v>
      </c>
    </row>
    <row r="22">
      <c r="A22" t="str">
        <v>Đại lý C6 tại Vĩnh Xương</v>
      </c>
      <c r="B22">
        <v>9860490</v>
      </c>
    </row>
    <row r="23">
      <c r="A23" t="str">
        <v>Đại lý C7 tại Quảng Ninh</v>
      </c>
      <c r="B23">
        <v>7331240</v>
      </c>
    </row>
    <row r="24">
      <c r="A24" t="str">
        <v>Đại lý C7 tại Quảng Ninh phí ngoài</v>
      </c>
      <c r="B24">
        <v>4000000</v>
      </c>
    </row>
    <row r="25">
      <c r="A25" t="str">
        <v>Đại lý C6 tại Hải Phòng</v>
      </c>
      <c r="B25">
        <v>8845900</v>
      </c>
    </row>
    <row r="26">
      <c r="A26" t="str">
        <v>Đại lý C8 tại Sơn Dương</v>
      </c>
      <c r="B26">
        <v>41024305</v>
      </c>
    </row>
    <row r="27">
      <c r="A27" t="str">
        <v>Phí cầu bến C9 tại Đà Nẵng</v>
      </c>
      <c r="B27">
        <v>5554508</v>
      </c>
    </row>
    <row r="28">
      <c r="A28" t="str">
        <v>Đại lý C8 tại Hậu Giang</v>
      </c>
      <c r="B28">
        <v>10292000</v>
      </c>
    </row>
    <row r="29">
      <c r="A29" t="str">
        <v>Đại lý C9 tại Vĩnh Xương</v>
      </c>
      <c r="B29">
        <v>7000000</v>
      </c>
    </row>
    <row r="30">
      <c r="A30" t="str">
        <v>VG09</v>
      </c>
      <c r="B30">
        <v>235979078</v>
      </c>
    </row>
    <row r="31">
      <c r="A31" t="str">
        <v>Đại lý ngoài</v>
      </c>
      <c r="B31">
        <v>11000000</v>
      </c>
    </row>
    <row r="32">
      <c r="A32" t="str">
        <v>Đại lý Sơng Hậu tại Hậu Giang C8</v>
      </c>
      <c r="B32">
        <v>15969000</v>
      </c>
    </row>
    <row r="33">
      <c r="A33" t="str">
        <v>Đại lý Sông Hậu tại VĨnh Xương C9</v>
      </c>
      <c r="B33">
        <v>50353000</v>
      </c>
    </row>
    <row r="34">
      <c r="A34" t="str">
        <v>Hoa tiêu C9 Cát tại Huy Văn</v>
      </c>
      <c r="B34">
        <v>4320000</v>
      </c>
    </row>
    <row r="35">
      <c r="A35" t="str">
        <v>Đại lý C6 tại Cần Thơ</v>
      </c>
      <c r="B35">
        <v>21699456</v>
      </c>
    </row>
    <row r="36">
      <c r="A36" t="str">
        <v>Tàu lai tại Đà Nẵng C7</v>
      </c>
      <c r="B36">
        <v>9979200</v>
      </c>
    </row>
    <row r="37">
      <c r="A37" t="str">
        <v>Cầu bến tại Đà Nẵng C7</v>
      </c>
      <c r="B37">
        <v>5826506</v>
      </c>
    </row>
    <row r="38">
      <c r="A38" t="str">
        <v>Đại lý C8 tại Sơn Dương</v>
      </c>
      <c r="B38">
        <v>41383000</v>
      </c>
    </row>
    <row r="39">
      <c r="A39" t="str">
        <v>Đại lý C7 tại Vĩnh Xương</v>
      </c>
      <c r="B39">
        <v>56448916</v>
      </c>
    </row>
    <row r="40">
      <c r="A40" t="str">
        <v>Tàu lai</v>
      </c>
      <c r="B40">
        <v>19000000</v>
      </c>
    </row>
    <row r="41">
      <c r="A41" t="str">
        <v>VG15</v>
      </c>
      <c r="B41">
        <v>249158111</v>
      </c>
    </row>
    <row r="42">
      <c r="A42" t="str">
        <v>Đại lý Sơng Hậu tại Hậu Giang C9</v>
      </c>
      <c r="B42">
        <v>36711000</v>
      </c>
    </row>
    <row r="43">
      <c r="A43" t="str">
        <v>Đại lý Sông Hậu tại VĨnh Xương C10</v>
      </c>
      <c r="B43">
        <v>49919000</v>
      </c>
    </row>
    <row r="44">
      <c r="A44" t="str">
        <v>Phí cầu bến tại Đà Nẵng</v>
      </c>
      <c r="B44">
        <v>7885934</v>
      </c>
    </row>
    <row r="45">
      <c r="A45" t="str">
        <v>Tàu lai tại Đà Nẵng</v>
      </c>
      <c r="B45">
        <v>9979200</v>
      </c>
    </row>
    <row r="46">
      <c r="A46" t="str">
        <v>Tàu Lai C8 tại Đà Nẵng</v>
      </c>
      <c r="B46">
        <v>9979200</v>
      </c>
    </row>
    <row r="47">
      <c r="A47" t="str">
        <v>Cầu bến C8 tại Đà Nẵng</v>
      </c>
      <c r="B47">
        <v>6079754</v>
      </c>
    </row>
    <row r="48">
      <c r="A48" t="str">
        <v>Đại lý C7 tại Cần Thơ</v>
      </c>
      <c r="B48">
        <v>37347000</v>
      </c>
    </row>
    <row r="49">
      <c r="A49" t="str">
        <v>Đại lý C8 tại VĨnh Xương</v>
      </c>
      <c r="B49">
        <v>54488023</v>
      </c>
    </row>
    <row r="50">
      <c r="A50" t="str">
        <v>Đại lý C9 tại Sơn Dương</v>
      </c>
      <c r="B50">
        <v>36769000</v>
      </c>
    </row>
    <row r="51">
      <c r="A51" t="str">
        <v>VG18</v>
      </c>
      <c r="B51">
        <v>359284173</v>
      </c>
    </row>
    <row r="52">
      <c r="A52" t="str">
        <v>Đại lý Sơng Hậu tại Hậu Giang C8</v>
      </c>
      <c r="B52">
        <v>44449864</v>
      </c>
    </row>
    <row r="53">
      <c r="A53" t="str">
        <v>Đại lý C5 tại Sơn Dương</v>
      </c>
      <c r="B53">
        <v>48961216</v>
      </c>
    </row>
    <row r="54">
      <c r="A54" t="str">
        <v>Đại lý C5 tại HCM</v>
      </c>
      <c r="B54">
        <v>42134000</v>
      </c>
    </row>
    <row r="55">
      <c r="A55" t="str">
        <v>Đại lý C6 tại Đồng Nai</v>
      </c>
      <c r="B55">
        <v>42652569</v>
      </c>
    </row>
    <row r="56">
      <c r="A56" t="str">
        <v>Đại lý C7 tại Quảng Ninh</v>
      </c>
      <c r="B56">
        <v>64699340</v>
      </c>
    </row>
    <row r="57">
      <c r="A57" t="str">
        <v>Đại lý C6 tại Hải Phòng</v>
      </c>
      <c r="B57">
        <v>37297152</v>
      </c>
    </row>
    <row r="58">
      <c r="A58" t="str">
        <v>Cầu bến lai dắt C7 tại Hòn La</v>
      </c>
      <c r="B58">
        <v>22653032</v>
      </c>
    </row>
    <row r="59">
      <c r="A59" t="str">
        <v>Hoa tiêu lai dắt C7 tại Hòn La</v>
      </c>
      <c r="B59">
        <v>4320000</v>
      </c>
    </row>
    <row r="60">
      <c r="A60" t="str">
        <v>Phí ngoài Quảng Ninh</v>
      </c>
      <c r="B60">
        <v>11000000</v>
      </c>
    </row>
    <row r="61">
      <c r="A61" t="str">
        <v>Đại lý C8 tại Sơn Dương</v>
      </c>
      <c r="B61">
        <v>41117000</v>
      </c>
    </row>
    <row r="62">
      <c r="A62" t="str">
        <v>VG36</v>
      </c>
      <c r="B62">
        <v>256474832</v>
      </c>
    </row>
    <row r="63">
      <c r="A63" t="str">
        <v>Cầu bến VG36 tại Đà Nẵng C11 Cát</v>
      </c>
      <c r="B63">
        <v>5744957</v>
      </c>
    </row>
    <row r="64">
      <c r="A64" t="str">
        <v>Phí cầu bến tại Đà Nẵng</v>
      </c>
      <c r="B64">
        <v>9334267</v>
      </c>
    </row>
    <row r="65">
      <c r="A65" t="str">
        <v>Tàu lai tại Đà Nẵng</v>
      </c>
      <c r="B65">
        <v>9979200</v>
      </c>
    </row>
    <row r="66">
      <c r="A66" t="str">
        <v>Tàu Lai VG36 tại Đà Nẵng C11 Cát</v>
      </c>
      <c r="B66">
        <v>9936000</v>
      </c>
    </row>
    <row r="67">
      <c r="A67" t="str">
        <v>Đại lý C7 tại Gò Gia</v>
      </c>
      <c r="B67">
        <v>43325000</v>
      </c>
      <c r="D67">
        <f>+GETPIVOTDATA("Sum of Thu",$A$3)-GETPIVOTDATA("Sum of Chi",$A$3)</f>
        <v>4505234779.000002</v>
      </c>
    </row>
    <row r="68">
      <c r="A68" t="str">
        <v>Đại lý C5 tại Hải Phòng</v>
      </c>
      <c r="B68">
        <v>28954579</v>
      </c>
    </row>
    <row r="69">
      <c r="A69" t="str">
        <v>Hoa tiêu Sài Gòn C6 tại Đồng Nai</v>
      </c>
      <c r="B69">
        <v>5263110</v>
      </c>
    </row>
    <row r="70">
      <c r="A70" t="str">
        <v>Đại lý C8 tại Sơn Dương</v>
      </c>
      <c r="B70">
        <v>44609760</v>
      </c>
    </row>
    <row r="71">
      <c r="A71" t="str">
        <v>Tàu lai C9 Tại Vĩnh Hưng</v>
      </c>
      <c r="B71">
        <v>8640000</v>
      </c>
    </row>
    <row r="72">
      <c r="A72" t="str">
        <v>Cầu bến C9 Tại Vĩnh Hưng</v>
      </c>
      <c r="B72">
        <v>5749189</v>
      </c>
    </row>
    <row r="73">
      <c r="A73" t="str">
        <v>Hoa tiêu C9 tại Vĩnh Hưng</v>
      </c>
      <c r="B73">
        <v>4622125</v>
      </c>
    </row>
    <row r="74">
      <c r="A74" t="str">
        <v>Đại lý C8 tại HCM</v>
      </c>
      <c r="B74">
        <v>27997070</v>
      </c>
    </row>
    <row r="75">
      <c r="A75" t="str">
        <v>Đại lý C9 tại Hậu Giang</v>
      </c>
      <c r="B75">
        <v>33300235</v>
      </c>
    </row>
    <row r="76">
      <c r="A76" t="str">
        <v>Cầu bến , lai dắt tại Chân mây</v>
      </c>
      <c r="B76">
        <v>19019340</v>
      </c>
    </row>
    <row r="77">
      <c r="A77" t="str">
        <v>3.Lương</v>
      </c>
      <c r="B77">
        <v>1044430400</v>
      </c>
    </row>
    <row r="78">
      <c r="A78" t="str">
        <v>VG05</v>
      </c>
      <c r="B78">
        <v>195829500</v>
      </c>
    </row>
    <row r="79">
      <c r="A79" t="str">
        <v>Lương Tháng 3</v>
      </c>
      <c r="B79">
        <v>195829500</v>
      </c>
    </row>
    <row r="80">
      <c r="A80" t="str">
        <v>VG09</v>
      </c>
      <c r="B80">
        <v>201694833.33333334</v>
      </c>
    </row>
    <row r="81">
      <c r="A81" t="str">
        <v>Ứng lương Lê Ngọc Anh</v>
      </c>
      <c r="B81">
        <v>2000000</v>
      </c>
    </row>
    <row r="82">
      <c r="A82" t="str">
        <v>Lương Tháng 3</v>
      </c>
      <c r="B82">
        <v>199694833.33333334</v>
      </c>
    </row>
    <row r="83">
      <c r="A83" t="str">
        <v>VG15</v>
      </c>
      <c r="B83">
        <v>213028000</v>
      </c>
    </row>
    <row r="84">
      <c r="A84" t="str">
        <v>Ứng lương Lưu Quang Trường</v>
      </c>
      <c r="B84">
        <v>10000000</v>
      </c>
    </row>
    <row r="85">
      <c r="A85" t="str">
        <v>Lương Tháng 3</v>
      </c>
      <c r="B85">
        <v>203028000</v>
      </c>
    </row>
    <row r="86">
      <c r="A86" t="str">
        <v>VG18</v>
      </c>
      <c r="B86">
        <v>220093500</v>
      </c>
    </row>
    <row r="87">
      <c r="A87" t="str">
        <v>Lương Tháng 3</v>
      </c>
      <c r="B87">
        <v>220093500</v>
      </c>
    </row>
    <row r="88">
      <c r="A88" t="str">
        <v>VG36</v>
      </c>
      <c r="B88">
        <v>213784566.66666666</v>
      </c>
    </row>
    <row r="89">
      <c r="A89" t="str">
        <v>Trả tiền vé máy bay</v>
      </c>
      <c r="B89">
        <v>6178400</v>
      </c>
    </row>
    <row r="90">
      <c r="A90" t="str">
        <v>Lương Tháng 3</v>
      </c>
      <c r="B90">
        <v>202606166.66666666</v>
      </c>
    </row>
    <row r="91">
      <c r="A91" t="str">
        <v>Ứng lương Nguyễn Văn Danh</v>
      </c>
      <c r="B91">
        <v>5000000</v>
      </c>
    </row>
    <row r="92">
      <c r="A92" t="str">
        <v>4.Dầu DO</v>
      </c>
      <c r="B92">
        <v>8175444614</v>
      </c>
    </row>
    <row r="93">
      <c r="A93" t="str">
        <v>VG05</v>
      </c>
      <c r="B93">
        <v>644368000</v>
      </c>
    </row>
    <row r="94">
      <c r="A94" t="str">
        <v>Cấp dầu DO tại Đà Nẵng</v>
      </c>
      <c r="B94">
        <v>644368000</v>
      </c>
    </row>
    <row r="95">
      <c r="A95" t="str">
        <v>VG09</v>
      </c>
      <c r="B95">
        <v>1164574430</v>
      </c>
    </row>
    <row r="96">
      <c r="A96" t="str">
        <v>Cấp dầu VG09</v>
      </c>
      <c r="B96">
        <v>838962500</v>
      </c>
    </row>
    <row r="97">
      <c r="A97" t="str">
        <v>Trả tiền dầu DO</v>
      </c>
      <c r="B97">
        <v>325611930</v>
      </c>
    </row>
    <row r="98">
      <c r="A98" t="str">
        <v>VG15</v>
      </c>
      <c r="B98">
        <v>1623881850</v>
      </c>
    </row>
    <row r="99">
      <c r="A99" t="str">
        <v>Cấp dầu VG15 tại Sơn Dương</v>
      </c>
      <c r="B99">
        <v>610369850</v>
      </c>
    </row>
    <row r="100">
      <c r="A100" t="str">
        <v>Cấp dầu VG15 tại Đà Nẵng</v>
      </c>
      <c r="B100">
        <v>995392000</v>
      </c>
    </row>
    <row r="101">
      <c r="A101" t="str">
        <v>Vận chuyển dầu VG15 tại Đà Nẵng</v>
      </c>
      <c r="B101">
        <v>18120000</v>
      </c>
    </row>
    <row r="102">
      <c r="A102" t="str">
        <v>VG18</v>
      </c>
      <c r="B102">
        <v>2925555960</v>
      </c>
    </row>
    <row r="103">
      <c r="A103" t="str">
        <v>Cấp ứng dầu VG18 tại Sơn Dương</v>
      </c>
      <c r="B103">
        <v>400000000</v>
      </c>
    </row>
    <row r="104">
      <c r="A104" t="str">
        <v>Trả đủ đơn dầu tại Sơn Dương</v>
      </c>
      <c r="B104">
        <v>577576960</v>
      </c>
    </row>
    <row r="105">
      <c r="A105" t="str">
        <v>Trả tiền dầu DO</v>
      </c>
      <c r="B105">
        <v>1940134000</v>
      </c>
    </row>
    <row r="106">
      <c r="A106" t="str">
        <v>Vận Chuyển dầu</v>
      </c>
      <c r="B106">
        <v>7845000</v>
      </c>
    </row>
    <row r="107">
      <c r="A107" t="str">
        <v>VG36</v>
      </c>
      <c r="B107">
        <v>1817064374</v>
      </c>
    </row>
    <row r="108">
      <c r="A108" t="str">
        <v>Cấp DầuVG36 tại Đà Nẵng</v>
      </c>
      <c r="B108">
        <v>537429500</v>
      </c>
    </row>
    <row r="109">
      <c r="A109" t="str">
        <v>Tạm ứng Cấp dầu VG36</v>
      </c>
      <c r="B109">
        <v>350000000</v>
      </c>
    </row>
    <row r="110">
      <c r="A110" t="str">
        <v>Tra đủ  đơn dầu cấp 1/4</v>
      </c>
      <c r="B110">
        <v>367044800</v>
      </c>
    </row>
    <row r="111">
      <c r="A111" t="str">
        <v>Cấp dầu DO tại Chân mây</v>
      </c>
      <c r="B111">
        <v>562590074</v>
      </c>
    </row>
    <row r="112">
      <c r="A112" t="str">
        <v>5.Dầu LO</v>
      </c>
      <c r="B112">
        <v>369924000</v>
      </c>
    </row>
    <row r="113">
      <c r="A113" t="str">
        <v>VG05</v>
      </c>
      <c r="B113">
        <v>59000000</v>
      </c>
    </row>
    <row r="114">
      <c r="A114" t="str">
        <v>Cấp LO VG05 ngày 26/1</v>
      </c>
      <c r="B114">
        <v>59000000</v>
      </c>
    </row>
    <row r="115">
      <c r="A115" t="str">
        <v>VG09</v>
      </c>
      <c r="B115">
        <v>59500000</v>
      </c>
    </row>
    <row r="116">
      <c r="A116" t="str">
        <v>Cấp LO VG09 ngày 14/3</v>
      </c>
      <c r="B116">
        <v>59500000</v>
      </c>
    </row>
    <row r="117">
      <c r="A117" t="str">
        <v>VG15</v>
      </c>
      <c r="B117">
        <v>95200000</v>
      </c>
    </row>
    <row r="118">
      <c r="A118" t="str">
        <v>Cấp LO VG15 ngày 18/3</v>
      </c>
      <c r="B118">
        <v>59500000</v>
      </c>
    </row>
    <row r="119">
      <c r="A119" t="str">
        <v>Cấp LO VG15 ngày 23/2</v>
      </c>
      <c r="B119">
        <v>35700000</v>
      </c>
    </row>
    <row r="120">
      <c r="A120" t="str">
        <v>VG18</v>
      </c>
      <c r="B120">
        <v>154224000</v>
      </c>
    </row>
    <row r="121">
      <c r="A121" t="str">
        <v>Cấp LO VG18 ngày 1/4</v>
      </c>
      <c r="B121">
        <v>100224000</v>
      </c>
    </row>
    <row r="122">
      <c r="A122" t="str">
        <v>Cấp LO ngày 3/3</v>
      </c>
      <c r="B122">
        <v>54000000</v>
      </c>
    </row>
    <row r="123">
      <c r="A123" t="str">
        <v>VG36</v>
      </c>
      <c r="B123">
        <v>2000000</v>
      </c>
    </row>
    <row r="124">
      <c r="A124" t="str">
        <v>Tạm ứng mua dầu nhờn</v>
      </c>
      <c r="B124">
        <v>2000000</v>
      </c>
    </row>
    <row r="125">
      <c r="A125" t="str">
        <v>6.Lãi Vay</v>
      </c>
      <c r="B125">
        <v>300606754</v>
      </c>
    </row>
    <row r="126">
      <c r="A126" t="str">
        <v>VG05</v>
      </c>
      <c r="B126">
        <v>29521721.164070603</v>
      </c>
    </row>
    <row r="127">
      <c r="A127" t="str">
        <v>Lãi vay ngắn hạn AB</v>
      </c>
      <c r="B127">
        <v>29521721.164070603</v>
      </c>
    </row>
    <row r="128">
      <c r="A128" t="str">
        <v>VG09</v>
      </c>
      <c r="B128">
        <v>6984711.279673383</v>
      </c>
    </row>
    <row r="129">
      <c r="A129" t="str">
        <v>Lãi vay ngắn hạn AB</v>
      </c>
      <c r="B129">
        <v>6984711.279673383</v>
      </c>
    </row>
    <row r="130">
      <c r="A130" t="str">
        <v>VG15</v>
      </c>
      <c r="B130">
        <v>15765270.323851975</v>
      </c>
    </row>
    <row r="131">
      <c r="A131" t="str">
        <v>Lãi vay ngắn hạn AB</v>
      </c>
      <c r="B131">
        <v>15765270.323851975</v>
      </c>
    </row>
    <row r="132">
      <c r="A132" t="str">
        <v>VG18</v>
      </c>
      <c r="B132">
        <v>234247822.91599178</v>
      </c>
    </row>
    <row r="133">
      <c r="A133" t="str">
        <v>Trả lãi vay Yến Hậu</v>
      </c>
      <c r="B133">
        <v>195070000</v>
      </c>
    </row>
    <row r="134">
      <c r="A134" t="str">
        <v>Lãi vay ngắn hạn AB</v>
      </c>
      <c r="B134">
        <v>39177822.91599177</v>
      </c>
    </row>
    <row r="135">
      <c r="A135" t="str">
        <v>VG36</v>
      </c>
      <c r="B135">
        <v>14087228.316412263</v>
      </c>
    </row>
    <row r="136">
      <c r="A136" t="str">
        <v>Lãi vay ngắn hạn AB</v>
      </c>
      <c r="B136">
        <v>14087228.316412263</v>
      </c>
    </row>
    <row r="137">
      <c r="A137" t="str">
        <v>9.Vật Tư</v>
      </c>
      <c r="B137">
        <v>240897288</v>
      </c>
    </row>
    <row r="138">
      <c r="A138" t="str">
        <v>VG05</v>
      </c>
      <c r="B138">
        <v>21756085</v>
      </c>
    </row>
    <row r="139">
      <c r="A139" t="str">
        <v>Lắp đặt Camera</v>
      </c>
      <c r="B139">
        <v>17550000</v>
      </c>
    </row>
    <row r="140">
      <c r="A140" t="str">
        <v>Sơn HP</v>
      </c>
      <c r="B140">
        <v>4206085</v>
      </c>
    </row>
    <row r="141">
      <c r="A141" t="str">
        <v>VG09</v>
      </c>
      <c r="B141">
        <v>84920146</v>
      </c>
    </row>
    <row r="142">
      <c r="A142" t="str">
        <v>Cấp VHF</v>
      </c>
      <c r="B142">
        <v>8640000</v>
      </c>
    </row>
    <row r="143">
      <c r="A143" t="str">
        <v>Đồ máy 24</v>
      </c>
      <c r="B143">
        <v>460000</v>
      </c>
    </row>
    <row r="144">
      <c r="A144" t="str">
        <v>Lắp đặt Camera</v>
      </c>
      <c r="B144">
        <v>17550000</v>
      </c>
    </row>
    <row r="145">
      <c r="A145" t="str">
        <v>Vật tư + Sửa chữa máy T3</v>
      </c>
      <c r="B145">
        <v>13790304</v>
      </c>
    </row>
    <row r="146">
      <c r="A146" t="str">
        <v>Sơn HP</v>
      </c>
      <c r="B146">
        <v>35332488</v>
      </c>
    </row>
    <row r="147">
      <c r="A147" t="str">
        <v>Đồ máy 24 + vật tư 3/4</v>
      </c>
      <c r="B147">
        <v>4841000</v>
      </c>
    </row>
    <row r="148">
      <c r="A148" t="str">
        <v>Vật tư phụ</v>
      </c>
      <c r="B148">
        <v>4306354</v>
      </c>
    </row>
    <row r="149">
      <c r="A149" t="str">
        <v>VG18</v>
      </c>
      <c r="B149">
        <v>134221057</v>
      </c>
    </row>
    <row r="150">
      <c r="A150" t="str">
        <v>Sửa chữa điện</v>
      </c>
      <c r="B150">
        <v>50021280</v>
      </c>
    </row>
    <row r="151">
      <c r="A151" t="str">
        <v>Sơn HP</v>
      </c>
      <c r="B151">
        <v>21191220</v>
      </c>
    </row>
    <row r="152">
      <c r="A152" t="str">
        <v>In hải đồ</v>
      </c>
      <c r="B152">
        <v>7776000</v>
      </c>
    </row>
    <row r="153">
      <c r="A153" t="str">
        <v>Vĩnh công tác Hòn La mua đồ</v>
      </c>
      <c r="B153">
        <v>8900000</v>
      </c>
    </row>
    <row r="154">
      <c r="A154" t="str">
        <v>Thép thanh châu</v>
      </c>
      <c r="B154">
        <v>12078807</v>
      </c>
    </row>
    <row r="155">
      <c r="A155" t="str">
        <v>Dây buộc tàu</v>
      </c>
      <c r="B155">
        <v>32253750</v>
      </c>
    </row>
    <row r="156">
      <c r="A156" t="str">
        <v>Bồi dưỡng sửa chưa tời lái</v>
      </c>
      <c r="B156">
        <v>2000000</v>
      </c>
    </row>
    <row r="157">
      <c r="A157" t="str">
        <v>CVC</v>
      </c>
      <c r="B157">
        <v>55400000</v>
      </c>
      <c r="C157">
        <v>17700052800</v>
      </c>
    </row>
    <row r="158">
      <c r="A158" t="str">
        <v>VG05</v>
      </c>
      <c r="B158">
        <v>55400000</v>
      </c>
      <c r="C158">
        <v>3460322760</v>
      </c>
    </row>
    <row r="159">
      <c r="A159" t="str">
        <v>HD37 VG05 Xỉ Sơn Dương - Hậu Giang</v>
      </c>
      <c r="C159">
        <v>1011241000</v>
      </c>
    </row>
    <row r="160">
      <c r="A160" t="str">
        <v>HD25 VG05 Clinker Hòn La  - Cần Thơ</v>
      </c>
      <c r="C160">
        <v>467913200</v>
      </c>
    </row>
    <row r="161">
      <c r="A161" t="str">
        <v>HD11 VG05 Cát Vĩnh Xương - Đà Nẵng</v>
      </c>
      <c r="C161">
        <v>496179000</v>
      </c>
    </row>
    <row r="162">
      <c r="A162" t="str">
        <v>Trả tiền gửi HD25 Thái Bình Dương</v>
      </c>
      <c r="B162">
        <v>55400000</v>
      </c>
    </row>
    <row r="163">
      <c r="A163" t="str">
        <v>HD20 VG05 Cát Vĩnh Xương - Đà Nẵng</v>
      </c>
      <c r="C163">
        <v>534733650</v>
      </c>
    </row>
    <row r="164">
      <c r="A164" t="str">
        <v>HD31 VG05 Than Quảng Ninh - Nghi Sơn</v>
      </c>
      <c r="C164">
        <v>346465800</v>
      </c>
    </row>
    <row r="165">
      <c r="A165" t="str">
        <v>HD33 VG05 Quặng Vĩnh Xương - Hải Phòng</v>
      </c>
      <c r="C165">
        <v>603790110</v>
      </c>
    </row>
    <row r="166">
      <c r="A166" t="str">
        <v>VG09</v>
      </c>
      <c r="C166">
        <v>3420571600</v>
      </c>
    </row>
    <row r="167">
      <c r="A167" t="str">
        <v>HD42 VG09 Xỉ Sơn Dương - Hậu Giang</v>
      </c>
      <c r="C167">
        <v>1288287000</v>
      </c>
    </row>
    <row r="168">
      <c r="A168" t="str">
        <v>HD29 VG09 Xỉ Sơn Dương - XM Tây Đô</v>
      </c>
      <c r="C168">
        <v>1137600000</v>
      </c>
    </row>
    <row r="169">
      <c r="A169" t="str">
        <v>HD26 VG09 Cát Vĩnh Xương - Đà Nẵng</v>
      </c>
      <c r="C169">
        <v>644684600</v>
      </c>
    </row>
    <row r="170">
      <c r="A170" t="str">
        <v>HD50 VG09 Cát Vĩnh Xương - Huy Văn</v>
      </c>
      <c r="C170">
        <v>350000000</v>
      </c>
    </row>
    <row r="171">
      <c r="A171" t="str">
        <v>VG15</v>
      </c>
      <c r="C171">
        <v>2698104200</v>
      </c>
    </row>
    <row r="172">
      <c r="A172" t="str">
        <v>Thu CVC HD27 VG15 Cát Vĩnh Xương - Đà Nẵng</v>
      </c>
      <c r="C172">
        <v>656028800</v>
      </c>
    </row>
    <row r="173">
      <c r="A173" t="str">
        <v>Thu CVC HD34 VG15 Chân Mây - Hâụ Giang</v>
      </c>
      <c r="C173">
        <v>1116447400</v>
      </c>
    </row>
    <row r="174">
      <c r="A174" t="str">
        <v>HD23 VG15 Xỉ Sơn Dương - Hậu Giang</v>
      </c>
      <c r="C174">
        <v>925628000</v>
      </c>
    </row>
    <row r="175">
      <c r="A175" t="str">
        <v>VG18</v>
      </c>
      <c r="C175">
        <v>4474850520</v>
      </c>
    </row>
    <row r="176">
      <c r="A176" t="str">
        <v>Thu CVC HD35 VG18 Tôn Cuộn Gò Dầu - Hải Phòng</v>
      </c>
      <c r="C176">
        <v>1180433520</v>
      </c>
    </row>
    <row r="177">
      <c r="A177" t="str">
        <v>HD24 VG18 Cliker Hòn La - Hậu Giang</v>
      </c>
      <c r="C177">
        <v>1494806250</v>
      </c>
    </row>
    <row r="178">
      <c r="A178" t="str">
        <v>HD28 VG18 Xỉ Sơn Dương - HCM</v>
      </c>
      <c r="C178">
        <v>1799610750</v>
      </c>
    </row>
    <row r="179">
      <c r="A179" t="str">
        <v>VG36</v>
      </c>
      <c r="C179">
        <v>3646203720</v>
      </c>
    </row>
    <row r="180">
      <c r="A180" t="str">
        <v>HD38 VG36 Xỉ Sơn Dương - HCM</v>
      </c>
      <c r="C180">
        <v>1159860870</v>
      </c>
    </row>
    <row r="181">
      <c r="A181" t="str">
        <v>HD22 VG36 Quặng Vĩnh Xương - Hải Phòng</v>
      </c>
      <c r="C181">
        <v>680730050</v>
      </c>
    </row>
    <row r="182">
      <c r="A182" t="str">
        <v>HD9 VG36 Clinker Hòn La - Hậu Giang</v>
      </c>
      <c r="C182">
        <v>372049900</v>
      </c>
    </row>
    <row r="183">
      <c r="A183" t="str">
        <v>HD30 VG36 Clinker Hòn La - HCM</v>
      </c>
      <c r="C183">
        <v>923562900</v>
      </c>
    </row>
    <row r="184">
      <c r="A184" t="str">
        <v>HD32 VG36 Than Gò Da - Đà Nẵng</v>
      </c>
      <c r="C184">
        <v>510000000</v>
      </c>
    </row>
    <row r="185">
      <c r="A185" t="str">
        <v>Văn phòng</v>
      </c>
      <c r="B185">
        <v>385220033</v>
      </c>
      <c r="C185">
        <v>12665090</v>
      </c>
    </row>
    <row r="186">
      <c r="A186" t="str">
        <v>VP</v>
      </c>
      <c r="B186">
        <v>385220033</v>
      </c>
      <c r="C186">
        <v>12665090</v>
      </c>
    </row>
    <row r="187">
      <c r="A187" t="str">
        <v>Công đức chùa</v>
      </c>
      <c r="B187">
        <v>200000000</v>
      </c>
    </row>
    <row r="188">
      <c r="A188" t="str">
        <v>Cước điện thoại</v>
      </c>
      <c r="B188">
        <v>1572959</v>
      </c>
    </row>
    <row r="189">
      <c r="A189" t="str">
        <v>Gia hạn Vshipel</v>
      </c>
      <c r="B189">
        <v>1944000</v>
      </c>
    </row>
    <row r="190">
      <c r="A190" t="str">
        <v>Phí duy trì tài khoản</v>
      </c>
      <c r="B190">
        <v>165000</v>
      </c>
    </row>
    <row r="191">
      <c r="A191" t="str">
        <v>Phí rút tiền</v>
      </c>
      <c r="B191">
        <v>48500</v>
      </c>
    </row>
    <row r="192">
      <c r="A192" t="str">
        <v>Thu phí duy trì</v>
      </c>
      <c r="B192">
        <v>100000</v>
      </c>
    </row>
    <row r="193">
      <c r="A193" t="str">
        <v>Xăng xe</v>
      </c>
      <c r="B193">
        <v>1400000</v>
      </c>
    </row>
    <row r="194">
      <c r="A194" t="str">
        <v>Đối ứng in hải đồ</v>
      </c>
      <c r="C194">
        <v>7596000</v>
      </c>
    </row>
    <row r="195">
      <c r="A195" t="str">
        <v>Phí chuyển tiền</v>
      </c>
      <c r="B195">
        <v>764574</v>
      </c>
    </row>
    <row r="196">
      <c r="A196" t="str">
        <v>Thăm viếng bố đối tác</v>
      </c>
      <c r="B196">
        <v>1000000</v>
      </c>
    </row>
    <row r="197">
      <c r="A197" t="str">
        <v>SMS duy tri TK</v>
      </c>
      <c r="B197">
        <v>165000</v>
      </c>
    </row>
    <row r="198">
      <c r="A198" t="str">
        <v>Cước phí bưu điện</v>
      </c>
      <c r="B198">
        <v>20000</v>
      </c>
    </row>
    <row r="199">
      <c r="A199" t="str">
        <v>Phí BDSD</v>
      </c>
      <c r="B199">
        <v>150000</v>
      </c>
    </row>
    <row r="200">
      <c r="A200" t="str">
        <v>Trả lãi TK</v>
      </c>
      <c r="C200">
        <v>269090</v>
      </c>
    </row>
    <row r="201">
      <c r="A201" t="str">
        <v>Máy tính + máy in</v>
      </c>
      <c r="B201">
        <v>22050000</v>
      </c>
    </row>
    <row r="202">
      <c r="A202" t="str">
        <v>Nhận tiền bảo hiểm</v>
      </c>
      <c r="C202">
        <v>4800000</v>
      </c>
    </row>
    <row r="203">
      <c r="A203" t="str">
        <v>Lương Tùng</v>
      </c>
      <c r="B203">
        <v>40000000</v>
      </c>
    </row>
    <row r="204">
      <c r="A204" t="str">
        <v>Lương C Phương</v>
      </c>
      <c r="B204">
        <v>20000000</v>
      </c>
    </row>
    <row r="205">
      <c r="A205" t="str">
        <v>Lương Vĩnh</v>
      </c>
      <c r="B205">
        <v>67650000</v>
      </c>
    </row>
    <row r="206">
      <c r="A206" t="str">
        <v>Vé máy bay</v>
      </c>
      <c r="B206">
        <v>28190000</v>
      </c>
    </row>
    <row r="207">
      <c r="A207" t="str">
        <v>(blank)</v>
      </c>
      <c r="B207">
        <v>100000000</v>
      </c>
    </row>
    <row r="208">
      <c r="A208" t="str">
        <v>VGnew</v>
      </c>
      <c r="B208">
        <v>100000000</v>
      </c>
    </row>
    <row r="209">
      <c r="A209" t="str">
        <v>Chuyển tiền thiết kế</v>
      </c>
      <c r="B209">
        <v>100000000</v>
      </c>
    </row>
    <row r="210">
      <c r="A210" t="str">
        <v>(blank)</v>
      </c>
    </row>
    <row r="211">
      <c r="A211" t="str">
        <v>(blank)</v>
      </c>
    </row>
    <row r="212">
      <c r="A212" t="str">
        <v>Luân chuyển</v>
      </c>
      <c r="B212">
        <v>287905000</v>
      </c>
      <c r="C212">
        <v>296805000</v>
      </c>
    </row>
    <row r="213">
      <c r="A213" t="str">
        <v>VP</v>
      </c>
      <c r="B213">
        <v>287905000</v>
      </c>
      <c r="C213">
        <v>296805000</v>
      </c>
    </row>
    <row r="214">
      <c r="A214" t="str">
        <v>Chuyển tk Tùng</v>
      </c>
      <c r="B214">
        <v>4930000</v>
      </c>
      <c r="C214">
        <v>4930000</v>
      </c>
    </row>
    <row r="215">
      <c r="A215" t="str">
        <v>Luân chuyển tiền mặt</v>
      </c>
      <c r="B215">
        <v>282975000</v>
      </c>
      <c r="C215">
        <v>282975000</v>
      </c>
    </row>
    <row r="216">
      <c r="A216" t="str">
        <v>Nhận tiền mặt bà</v>
      </c>
      <c r="C216">
        <v>8900000</v>
      </c>
    </row>
    <row r="217">
      <c r="A217" t="str">
        <v>Nhận Nợ NH</v>
      </c>
      <c r="B217">
        <v>1606418610</v>
      </c>
      <c r="C217">
        <v>1390134000</v>
      </c>
    </row>
    <row r="218">
      <c r="A218" t="str">
        <v>VG18</v>
      </c>
      <c r="B218">
        <v>1606418610</v>
      </c>
      <c r="C218">
        <v>1390134000</v>
      </c>
    </row>
    <row r="219">
      <c r="A219" t="str">
        <v>Vay ngắn hạn ABBank</v>
      </c>
      <c r="C219">
        <v>1390134000</v>
      </c>
    </row>
    <row r="220">
      <c r="A220" t="str">
        <v>Trả gốc ngắn hạn</v>
      </c>
      <c r="B220">
        <v>541166308</v>
      </c>
    </row>
    <row r="221">
      <c r="A221" t="str">
        <v>Trả gốc trung hạn</v>
      </c>
      <c r="B221">
        <v>803265000</v>
      </c>
    </row>
    <row r="222">
      <c r="A222" t="str">
        <v>Trả lãi trung hạn</v>
      </c>
      <c r="B222">
        <v>261987302</v>
      </c>
    </row>
    <row r="223">
      <c r="A223" t="str">
        <v>7.Bảo Hiểm</v>
      </c>
      <c r="B223">
        <v>247442500</v>
      </c>
    </row>
    <row r="224">
      <c r="A224" t="str">
        <v>VG05</v>
      </c>
      <c r="B224">
        <v>21664000</v>
      </c>
    </row>
    <row r="225">
      <c r="A225" t="str">
        <v>BHXH T3</v>
      </c>
      <c r="B225">
        <v>21664000</v>
      </c>
    </row>
    <row r="226">
      <c r="A226" t="str">
        <v>VG09</v>
      </c>
      <c r="B226">
        <v>21664000</v>
      </c>
    </row>
    <row r="227">
      <c r="A227" t="str">
        <v>BHXH T3</v>
      </c>
      <c r="B227">
        <v>21664000</v>
      </c>
    </row>
    <row r="228">
      <c r="A228" t="str">
        <v>VG15</v>
      </c>
      <c r="B228">
        <v>21664000</v>
      </c>
    </row>
    <row r="229">
      <c r="A229" t="str">
        <v>BHXH T3</v>
      </c>
      <c r="B229">
        <v>21664000</v>
      </c>
    </row>
    <row r="230">
      <c r="A230" t="str">
        <v>VG18</v>
      </c>
      <c r="B230">
        <v>160786500</v>
      </c>
    </row>
    <row r="231">
      <c r="A231" t="str">
        <v>Bảo hiểm tàu kỳ 2</v>
      </c>
      <c r="B231">
        <v>139122500</v>
      </c>
    </row>
    <row r="232">
      <c r="A232" t="str">
        <v>BHXH T3</v>
      </c>
      <c r="B232">
        <v>21664000</v>
      </c>
    </row>
    <row r="233">
      <c r="A233" t="str">
        <v>VG36</v>
      </c>
      <c r="B233">
        <v>21664000</v>
      </c>
    </row>
    <row r="234">
      <c r="A234" t="str">
        <v>BHXH T3</v>
      </c>
      <c r="B234">
        <v>21664000</v>
      </c>
      <c r="D234">
        <f>+GETPIVOTDATA("Sum of Thu",$A$3)-GETPIVOTDATA("Sum of Chi",$A$3)</f>
        <v>4505234779.000002</v>
      </c>
    </row>
    <row r="235">
      <c r="A235" t="str">
        <v>Grand Total</v>
      </c>
      <c r="B235">
        <v>14894422110.999998</v>
      </c>
      <c r="C235">
        <v>19399656890</v>
      </c>
    </row>
  </sheetData>
  <mergeCells count="1">
    <mergeCell ref="A1:C2"/>
  </mergeCells>
  <pageMargins left="0.7" right="0.7" top="0.75" bottom="0.75" header="0.3" footer="0.3"/>
  <ignoredErrors>
    <ignoredError numberStoredAsText="1" sqref="A1:D52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19"/>
  <sheetViews>
    <sheetView workbookViewId="0" rightToLeft="0"/>
  </sheetViews>
  <sheetData>
    <row r="1">
      <c r="A1" t="str">
        <v>17/3/2026</v>
      </c>
      <c r="B1" t="str">
        <v>LD2607692676</v>
      </c>
      <c r="C1">
        <v>1699179500</v>
      </c>
      <c r="E1">
        <f>+SUM(E2:E3)</f>
        <v>1699179500</v>
      </c>
      <c r="F1">
        <v>13518951</v>
      </c>
      <c r="G1">
        <v>0.121</v>
      </c>
      <c r="J1">
        <v>651258213</v>
      </c>
    </row>
    <row r="2">
      <c r="B2" t="str">
        <v>VG18</v>
      </c>
      <c r="C2">
        <v>579215880</v>
      </c>
      <c r="D2">
        <f>384989980-91000</f>
        <v>384898980</v>
      </c>
      <c r="E2">
        <f>+C2+D2</f>
        <v>964114860</v>
      </c>
      <c r="F2">
        <f>+E2/$E$1*F1</f>
        <v>7670656.072952775</v>
      </c>
      <c r="G2">
        <f>270-179</f>
        <v>91</v>
      </c>
      <c r="I2" t="str">
        <v>VG05</v>
      </c>
      <c r="J2">
        <f>+SUMIF(B:B,I2,F:F)</f>
        <v>12454276.89708284</v>
      </c>
    </row>
    <row r="3">
      <c r="B3" t="str">
        <v>VG36</v>
      </c>
      <c r="C3">
        <v>735064640</v>
      </c>
      <c r="E3">
        <f>+C3+D3</f>
        <v>735064640</v>
      </c>
      <c r="F3">
        <f>+E3/$E$1*F1</f>
        <v>5848294.927047225</v>
      </c>
      <c r="I3" t="str">
        <v>VG09</v>
      </c>
      <c r="J3">
        <f>+SUMIF(B:B,I3,F:F)</f>
        <v>3492355.6398366913</v>
      </c>
    </row>
    <row r="4">
      <c r="A4" t="str">
        <v>26/1/2026</v>
      </c>
      <c r="B4" t="str">
        <v>LD2602660410</v>
      </c>
      <c r="C4">
        <v>898178250</v>
      </c>
      <c r="E4">
        <f>+SUM(E5:E9)</f>
        <v>898178250</v>
      </c>
      <c r="F4">
        <v>7704647</v>
      </c>
      <c r="I4" t="str">
        <v>VG15</v>
      </c>
      <c r="J4">
        <f>+SUMIF(B:B,I4,F:F)</f>
        <v>6726975.84687845</v>
      </c>
    </row>
    <row r="5">
      <c r="B5" t="str">
        <v>VG15</v>
      </c>
      <c r="C5">
        <v>371165300</v>
      </c>
      <c r="D5">
        <v>39962500</v>
      </c>
      <c r="E5">
        <f>+C5+D5</f>
        <v>411127800</v>
      </c>
      <c r="F5">
        <f>+E5/$C$4*$F$4</f>
        <v>3526688.1277592727</v>
      </c>
      <c r="I5" t="str">
        <v>VG18</v>
      </c>
      <c r="J5">
        <f>+SUMIF(B:B,I5,F:F)</f>
        <v>14983167.072952775</v>
      </c>
    </row>
    <row r="6">
      <c r="B6" t="str">
        <v>VG09</v>
      </c>
      <c r="C6">
        <v>367162950</v>
      </c>
      <c r="D6">
        <v>39962500</v>
      </c>
      <c r="E6">
        <f>+C6+D6</f>
        <v>407125450</v>
      </c>
      <c r="F6">
        <f>+E6/$C$4*$F$4</f>
        <v>3492355.6398366913</v>
      </c>
      <c r="I6" t="str">
        <v>VG36</v>
      </c>
      <c r="J6">
        <f>+SUMIF(B:B,I6,F:F)</f>
        <v>6191096.543249242</v>
      </c>
    </row>
    <row r="7">
      <c r="B7" t="str">
        <v>VG05</v>
      </c>
      <c r="D7">
        <v>39962500</v>
      </c>
      <c r="E7">
        <f>+C7+D7</f>
        <v>39962500</v>
      </c>
      <c r="F7">
        <f>+E7/$C$4*$F$4</f>
        <v>342801.61620201776</v>
      </c>
      <c r="J7">
        <f>+J1-SUM(J2:J6)</f>
        <v>607410341</v>
      </c>
    </row>
    <row r="8">
      <c r="B8" t="str">
        <v>VG18</v>
      </c>
      <c r="E8">
        <f>+C8+D8</f>
        <v>0</v>
      </c>
      <c r="F8">
        <f>+E8/$C$4*$F$4</f>
        <v>0</v>
      </c>
      <c r="J8">
        <v>589569331</v>
      </c>
    </row>
    <row r="9">
      <c r="B9" t="str">
        <v>VG36</v>
      </c>
      <c r="D9">
        <v>39962500</v>
      </c>
      <c r="E9">
        <f>+C9+D9</f>
        <v>39962500</v>
      </c>
      <c r="F9">
        <f>+E9/$C$4*$F$4</f>
        <v>342801.61620201776</v>
      </c>
      <c r="J9">
        <f>+J8-J7</f>
        <v>-17841010</v>
      </c>
    </row>
    <row r="10">
      <c r="A10" t="str">
        <v>21/1/2026</v>
      </c>
      <c r="B10" t="str">
        <v>LD2602109740</v>
      </c>
      <c r="C10">
        <v>740611300</v>
      </c>
      <c r="E10">
        <f>+E11</f>
        <v>740611300</v>
      </c>
      <c r="F10">
        <v>5724012</v>
      </c>
    </row>
    <row r="11">
      <c r="B11" t="str">
        <v>VG05</v>
      </c>
      <c r="C11">
        <v>740611300</v>
      </c>
      <c r="E11">
        <f>+C11+D11</f>
        <v>740611300</v>
      </c>
      <c r="F11">
        <f>+E11/$C$10*$F$10</f>
        <v>5724012</v>
      </c>
    </row>
    <row r="12">
      <c r="A12" t="str">
        <v>3/4/2026</v>
      </c>
      <c r="B12" t="str">
        <v>LD2609337347</v>
      </c>
      <c r="C12">
        <v>1390134000</v>
      </c>
      <c r="E12">
        <f>+E13</f>
        <v>1390134000</v>
      </c>
      <c r="F12">
        <v>3225873</v>
      </c>
    </row>
    <row r="13">
      <c r="B13" t="str">
        <v>VG18</v>
      </c>
      <c r="C13">
        <v>1390134000</v>
      </c>
      <c r="E13">
        <f>+C13+D13</f>
        <v>1390134000</v>
      </c>
      <c r="F13">
        <f>+E13/$C$12*$F$12</f>
        <v>3225873</v>
      </c>
    </row>
    <row r="14">
      <c r="A14" t="str">
        <v>23/3/2026</v>
      </c>
      <c r="B14" t="str">
        <v>LD2608259929</v>
      </c>
      <c r="C14">
        <v>1606762600</v>
      </c>
      <c r="E14">
        <f>+SUM(E15:E16)</f>
        <v>1606762600</v>
      </c>
      <c r="F14">
        <v>9587751</v>
      </c>
    </row>
    <row r="15">
      <c r="B15" t="str">
        <v>VG05</v>
      </c>
      <c r="C15">
        <v>1070442600</v>
      </c>
      <c r="E15">
        <f>+C15+D15</f>
        <v>1070442600</v>
      </c>
      <c r="F15">
        <f>+E15/$C$14*$F$14</f>
        <v>6387463.280880823</v>
      </c>
    </row>
    <row r="16">
      <c r="B16" t="str">
        <v>VG15</v>
      </c>
      <c r="C16">
        <v>536320000</v>
      </c>
      <c r="E16">
        <f>+C16+D16</f>
        <v>536320000</v>
      </c>
      <c r="F16">
        <f>+E16/$C$14*$F$14</f>
        <v>3200287.719119178</v>
      </c>
    </row>
    <row r="17">
      <c r="A17" t="str">
        <v>19/11/2026</v>
      </c>
      <c r="B17" t="str">
        <v>LD2532372096</v>
      </c>
      <c r="C17">
        <v>540639000</v>
      </c>
      <c r="E17">
        <f>+SUM(E18:E19)</f>
        <v>540639000</v>
      </c>
      <c r="F17">
        <v>4086638</v>
      </c>
    </row>
    <row r="18">
      <c r="B18" t="str">
        <v>VG18</v>
      </c>
      <c r="C18">
        <v>540639000</v>
      </c>
      <c r="E18">
        <f>+C18+D18</f>
        <v>540639000</v>
      </c>
      <c r="F18">
        <f>+E18/$C$17*$F$17</f>
        <v>4086638</v>
      </c>
    </row>
  </sheetData>
  <pageMargins left="0.7" right="0.7" top="0.75" bottom="0.75" header="0.3" footer="0.3"/>
  <ignoredErrors>
    <ignoredError numberStoredAsText="1" sqref="A1:J1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3:E331"/>
  <sheetViews>
    <sheetView workbookViewId="0" rightToLeft="0"/>
  </sheetViews>
  <sheetData>
    <row r="3">
      <c r="A3" t="str">
        <v>Row Labels</v>
      </c>
      <c r="B3" t="str">
        <v>Sum of Thực tế</v>
      </c>
      <c r="C3" t="str">
        <v>Sum of Hoá đơn</v>
      </c>
      <c r="D3" t="str">
        <v>Sum of THÁNG 4/2026</v>
      </c>
      <c r="E3" t="str">
        <v>Sum of THÁNG 5/2026</v>
      </c>
    </row>
    <row r="4">
      <c r="A4" t="str">
        <v>Công Nợ Công ty Bình Minh</v>
      </c>
      <c r="B4">
        <v>2132075600</v>
      </c>
      <c r="C4">
        <v>654340000</v>
      </c>
      <c r="D4">
        <v>530000000</v>
      </c>
      <c r="E4">
        <v>0</v>
      </c>
    </row>
    <row r="5">
      <c r="A5" t="str">
        <v>(blank)</v>
      </c>
      <c r="B5">
        <v>2132075600</v>
      </c>
      <c r="C5">
        <v>654340000</v>
      </c>
      <c r="D5">
        <v>530000000</v>
      </c>
      <c r="E5">
        <v>0</v>
      </c>
    </row>
    <row r="6">
      <c r="A6" t="str">
        <v>(blank)</v>
      </c>
      <c r="B6">
        <v>2132075600</v>
      </c>
      <c r="C6">
        <v>654340000</v>
      </c>
      <c r="D6">
        <v>530000000</v>
      </c>
      <c r="E6">
        <v>0</v>
      </c>
    </row>
    <row r="7">
      <c r="A7" t="str">
        <v>Công Nợ Công ty Hằng Phát</v>
      </c>
      <c r="B7">
        <v>1662200000</v>
      </c>
      <c r="C7">
        <v>0</v>
      </c>
    </row>
    <row r="8">
      <c r="A8" t="str">
        <v>(blank)</v>
      </c>
      <c r="B8">
        <v>1662200000</v>
      </c>
      <c r="C8">
        <v>0</v>
      </c>
    </row>
    <row r="9">
      <c r="A9" t="str">
        <v>(blank)</v>
      </c>
      <c r="B9">
        <v>1662200000</v>
      </c>
      <c r="C9">
        <v>0</v>
      </c>
    </row>
    <row r="10">
      <c r="A10" t="str">
        <v>Công Nợ Công ty Hoàng Quyên</v>
      </c>
      <c r="B10">
        <v>9196737300</v>
      </c>
      <c r="C10">
        <v>4020328300</v>
      </c>
      <c r="D10">
        <v>1700000000</v>
      </c>
      <c r="E10">
        <v>1003675950</v>
      </c>
    </row>
    <row r="11">
      <c r="A11" t="str">
        <v>(blank)</v>
      </c>
      <c r="B11">
        <v>9196737300</v>
      </c>
      <c r="C11">
        <v>4020328300</v>
      </c>
      <c r="D11">
        <v>1700000000</v>
      </c>
      <c r="E11">
        <v>1003675950</v>
      </c>
    </row>
    <row r="12">
      <c r="A12" t="str">
        <v>(blank)</v>
      </c>
      <c r="B12">
        <v>9196737300</v>
      </c>
      <c r="C12">
        <v>4020328300</v>
      </c>
      <c r="D12">
        <v>1700000000</v>
      </c>
      <c r="E12">
        <v>1003675950</v>
      </c>
    </row>
    <row r="13">
      <c r="A13" t="str">
        <v>Công Nợ Công ty Ngọc Anh</v>
      </c>
      <c r="B13">
        <v>31207958857</v>
      </c>
      <c r="C13">
        <v>7972060600</v>
      </c>
      <c r="D13">
        <v>8422193860</v>
      </c>
      <c r="E13">
        <v>5756269790</v>
      </c>
    </row>
    <row r="14">
      <c r="A14" t="str">
        <v>(blank)</v>
      </c>
      <c r="B14">
        <v>31207958857</v>
      </c>
      <c r="C14">
        <v>7972060600</v>
      </c>
      <c r="D14">
        <v>8422193860</v>
      </c>
      <c r="E14">
        <v>5756269790</v>
      </c>
    </row>
    <row r="15">
      <c r="A15" t="str">
        <v>(blank)</v>
      </c>
      <c r="B15">
        <v>31207958857</v>
      </c>
      <c r="C15">
        <v>7972060600</v>
      </c>
      <c r="D15">
        <v>8422193860</v>
      </c>
      <c r="E15">
        <v>5756269790</v>
      </c>
    </row>
    <row r="16">
      <c r="A16" t="str">
        <v>Công Nợ Công ty Sông Hậu</v>
      </c>
      <c r="B16">
        <v>652932099.9999999</v>
      </c>
      <c r="C16">
        <v>0</v>
      </c>
    </row>
    <row r="17">
      <c r="A17" t="str">
        <v>(blank)</v>
      </c>
      <c r="B17">
        <v>652932099.9999999</v>
      </c>
      <c r="C17">
        <v>0</v>
      </c>
    </row>
    <row r="18">
      <c r="A18" t="str">
        <v>(blank)</v>
      </c>
      <c r="B18">
        <v>652932099.9999999</v>
      </c>
      <c r="C18">
        <v>0</v>
      </c>
    </row>
    <row r="19">
      <c r="A19" t="str">
        <v>Công Nợ Công ty Thái  Bình Dương</v>
      </c>
      <c r="B19">
        <v>1460129481</v>
      </c>
      <c r="C19">
        <v>0</v>
      </c>
      <c r="D19">
        <v>467913200</v>
      </c>
      <c r="E19">
        <v>0</v>
      </c>
    </row>
    <row r="20">
      <c r="A20" t="str">
        <v>(blank)</v>
      </c>
      <c r="B20">
        <v>1460129481</v>
      </c>
      <c r="C20">
        <v>0</v>
      </c>
      <c r="D20">
        <v>467913200</v>
      </c>
      <c r="E20">
        <v>0</v>
      </c>
    </row>
    <row r="21">
      <c r="A21" t="str">
        <v>(blank)</v>
      </c>
      <c r="B21">
        <v>1460129481</v>
      </c>
      <c r="C21">
        <v>0</v>
      </c>
      <c r="D21">
        <v>467913200</v>
      </c>
      <c r="E21">
        <v>0</v>
      </c>
    </row>
    <row r="22">
      <c r="A22" t="str">
        <v>Công Nợ Công ty Việt Anh</v>
      </c>
      <c r="B22">
        <v>458249240</v>
      </c>
      <c r="D22">
        <v>0</v>
      </c>
      <c r="E22">
        <v>0</v>
      </c>
    </row>
    <row r="23">
      <c r="A23" t="str">
        <v>(blank)</v>
      </c>
      <c r="B23">
        <v>458249240</v>
      </c>
      <c r="D23">
        <v>0</v>
      </c>
      <c r="E23">
        <v>0</v>
      </c>
    </row>
    <row r="24">
      <c r="A24" t="str">
        <v>(blank)</v>
      </c>
      <c r="B24">
        <v>458249240</v>
      </c>
      <c r="D24">
        <v>0</v>
      </c>
      <c r="E24">
        <v>0</v>
      </c>
    </row>
    <row r="25">
      <c r="A25" t="str">
        <v>Dòng tiền Thu vào</v>
      </c>
      <c r="B25">
        <v>42995020997</v>
      </c>
      <c r="C25">
        <v>12646728900</v>
      </c>
    </row>
    <row r="26">
      <c r="A26" t="str">
        <v>(blank)</v>
      </c>
      <c r="B26">
        <v>42995020997</v>
      </c>
      <c r="C26">
        <v>12646728900</v>
      </c>
    </row>
    <row r="27">
      <c r="A27" t="str">
        <v>(blank)</v>
      </c>
      <c r="B27">
        <v>42995020997</v>
      </c>
      <c r="C27">
        <v>12646728900</v>
      </c>
    </row>
    <row r="28">
      <c r="A28" t="str">
        <v>HD 04 VG 05 Ckinker Chân Mây - Cần Thơ</v>
      </c>
      <c r="B28">
        <v>638072000</v>
      </c>
      <c r="C28">
        <v>0</v>
      </c>
    </row>
    <row r="29">
      <c r="A29" t="str">
        <v>HD 04 VG 05 Ckinker Chân Mây - Cần Thơ</v>
      </c>
      <c r="B29">
        <v>638072000</v>
      </c>
      <c r="C29">
        <v>0</v>
      </c>
    </row>
    <row r="30">
      <c r="A30" t="str">
        <v>HD 04 VG 05 Ckinker Chân Mây - Cần Thơ</v>
      </c>
      <c r="B30">
        <v>638072000</v>
      </c>
      <c r="C30">
        <v>0</v>
      </c>
    </row>
    <row r="31">
      <c r="A31" t="str">
        <v>HD1</v>
      </c>
      <c r="B31">
        <v>825037000</v>
      </c>
      <c r="C31">
        <v>0</v>
      </c>
    </row>
    <row r="32">
      <c r="A32" t="str">
        <v>VG36</v>
      </c>
      <c r="B32">
        <v>825037000</v>
      </c>
      <c r="C32">
        <v>0</v>
      </c>
    </row>
    <row r="33">
      <c r="A33" t="str">
        <v>Xỉ Hà Tĩnh - HCM</v>
      </c>
      <c r="B33">
        <v>825037000</v>
      </c>
      <c r="C33">
        <v>0</v>
      </c>
    </row>
    <row r="34">
      <c r="A34" t="str">
        <v>HD10</v>
      </c>
      <c r="B34">
        <v>845150400</v>
      </c>
      <c r="C34">
        <v>0</v>
      </c>
    </row>
    <row r="35">
      <c r="A35" t="str">
        <v>VG09</v>
      </c>
      <c r="B35">
        <v>845150400</v>
      </c>
      <c r="C35">
        <v>0</v>
      </c>
    </row>
    <row r="36">
      <c r="A36" t="str">
        <v>Xỉ Sơn Dương - HCM</v>
      </c>
      <c r="B36">
        <v>845150400</v>
      </c>
      <c r="C36">
        <v>0</v>
      </c>
    </row>
    <row r="37">
      <c r="A37" t="str">
        <v>HD100</v>
      </c>
      <c r="B37">
        <v>377460000</v>
      </c>
      <c r="C37">
        <v>0</v>
      </c>
    </row>
    <row r="38">
      <c r="A38" t="str">
        <v>VG05</v>
      </c>
      <c r="B38">
        <v>377460000</v>
      </c>
      <c r="C38">
        <v>0</v>
      </c>
    </row>
    <row r="39">
      <c r="A39" t="str">
        <v>Đá Hòn La - Hậu Giang</v>
      </c>
      <c r="B39">
        <v>377460000</v>
      </c>
      <c r="C39">
        <v>0</v>
      </c>
    </row>
    <row r="40">
      <c r="A40" t="str">
        <v>HD101</v>
      </c>
      <c r="B40">
        <v>326365200</v>
      </c>
      <c r="C40">
        <v>0</v>
      </c>
    </row>
    <row r="41">
      <c r="A41" t="str">
        <v>VG05</v>
      </c>
      <c r="B41">
        <v>326365200</v>
      </c>
      <c r="C41">
        <v>0</v>
      </c>
    </row>
    <row r="42">
      <c r="A42" t="str">
        <v>Clinker Hòn La - Hậu Giang</v>
      </c>
      <c r="B42">
        <v>326365200</v>
      </c>
      <c r="C42">
        <v>0</v>
      </c>
    </row>
    <row r="43">
      <c r="A43" t="str">
        <v>HD102</v>
      </c>
      <c r="B43">
        <v>579823400</v>
      </c>
      <c r="C43">
        <v>0</v>
      </c>
    </row>
    <row r="44">
      <c r="A44" t="str">
        <v>VG15</v>
      </c>
      <c r="B44">
        <v>579823400</v>
      </c>
      <c r="C44">
        <v>0</v>
      </c>
    </row>
    <row r="45">
      <c r="A45" t="str">
        <v>Cát Vĩnh Xương - Đà Nẵng</v>
      </c>
      <c r="B45">
        <v>579823400</v>
      </c>
      <c r="C45">
        <v>0</v>
      </c>
    </row>
    <row r="46">
      <c r="A46" t="str">
        <v>HD103</v>
      </c>
      <c r="B46">
        <v>867969000</v>
      </c>
      <c r="C46">
        <v>0</v>
      </c>
    </row>
    <row r="47">
      <c r="A47" t="str">
        <v>VG09</v>
      </c>
      <c r="B47">
        <v>867969000</v>
      </c>
      <c r="C47">
        <v>0</v>
      </c>
    </row>
    <row r="48">
      <c r="A48" t="str">
        <v>Xỉ Sơn Dương - Hậu Giang</v>
      </c>
      <c r="B48">
        <v>867969000</v>
      </c>
      <c r="C48">
        <v>0</v>
      </c>
    </row>
    <row r="49">
      <c r="A49" t="str">
        <v>HD104</v>
      </c>
      <c r="B49">
        <v>651117600</v>
      </c>
      <c r="C49">
        <v>0</v>
      </c>
    </row>
    <row r="50">
      <c r="A50" t="str">
        <v>VG36</v>
      </c>
      <c r="B50">
        <v>651117600</v>
      </c>
      <c r="C50">
        <v>0</v>
      </c>
    </row>
    <row r="51">
      <c r="A51" t="str">
        <v>Quặng Sắt Vĩnh Xương - Hải Phòng</v>
      </c>
      <c r="B51">
        <v>651117600</v>
      </c>
      <c r="C51">
        <v>0</v>
      </c>
    </row>
    <row r="52">
      <c r="A52" t="str">
        <v>HD11</v>
      </c>
      <c r="B52">
        <v>477002400</v>
      </c>
      <c r="C52">
        <v>0</v>
      </c>
      <c r="D52">
        <v>496179000</v>
      </c>
    </row>
    <row r="53">
      <c r="A53" t="str">
        <v>VG05</v>
      </c>
      <c r="B53">
        <v>477002400</v>
      </c>
      <c r="C53">
        <v>0</v>
      </c>
      <c r="D53">
        <v>496179000</v>
      </c>
    </row>
    <row r="54">
      <c r="A54" t="str">
        <v>Cát Vĩnh Xương - Đà Nẵng</v>
      </c>
      <c r="B54">
        <v>477002400</v>
      </c>
      <c r="C54">
        <v>0</v>
      </c>
      <c r="D54">
        <v>496179000</v>
      </c>
    </row>
    <row r="55">
      <c r="A55" t="str">
        <v>HD12</v>
      </c>
      <c r="B55">
        <v>928330000</v>
      </c>
      <c r="C55">
        <v>0</v>
      </c>
    </row>
    <row r="56">
      <c r="A56" t="str">
        <v>VG15</v>
      </c>
      <c r="B56">
        <v>928330000</v>
      </c>
      <c r="C56">
        <v>0</v>
      </c>
    </row>
    <row r="57">
      <c r="A57" t="str">
        <v>Xỉ Sơn Dương - Hậu Giang</v>
      </c>
      <c r="B57">
        <v>928330000</v>
      </c>
      <c r="C57">
        <v>0</v>
      </c>
    </row>
    <row r="58">
      <c r="A58" t="str">
        <v>HD13</v>
      </c>
      <c r="B58">
        <v>1463258850</v>
      </c>
      <c r="C58">
        <v>0</v>
      </c>
    </row>
    <row r="59">
      <c r="A59" t="str">
        <v>VG18</v>
      </c>
      <c r="B59">
        <v>1463258850</v>
      </c>
      <c r="C59">
        <v>0</v>
      </c>
    </row>
    <row r="60">
      <c r="A60" t="str">
        <v>Clinker Nghi Sơn - HCM</v>
      </c>
      <c r="B60">
        <v>1463258850</v>
      </c>
      <c r="C60">
        <v>0</v>
      </c>
    </row>
    <row r="61">
      <c r="A61" t="str">
        <v>HD14</v>
      </c>
      <c r="B61">
        <v>893784000</v>
      </c>
      <c r="C61">
        <v>0</v>
      </c>
    </row>
    <row r="62">
      <c r="A62" t="str">
        <v>VG05</v>
      </c>
      <c r="B62">
        <v>893784000</v>
      </c>
      <c r="C62">
        <v>0</v>
      </c>
    </row>
    <row r="63">
      <c r="A63" t="str">
        <v>Xỉ Sơn Dương - Hậu Giang</v>
      </c>
      <c r="B63">
        <v>893784000</v>
      </c>
      <c r="C63">
        <v>0</v>
      </c>
    </row>
    <row r="64">
      <c r="A64" t="str">
        <v>HD15</v>
      </c>
      <c r="B64">
        <v>320000000</v>
      </c>
      <c r="C64">
        <v>0</v>
      </c>
    </row>
    <row r="65">
      <c r="A65" t="str">
        <v>VG36</v>
      </c>
      <c r="B65">
        <v>320000000</v>
      </c>
      <c r="C65">
        <v>0</v>
      </c>
    </row>
    <row r="66">
      <c r="A66" t="str">
        <v>Gỗ Long An - Cửa Lò</v>
      </c>
      <c r="B66">
        <v>320000000</v>
      </c>
      <c r="C66">
        <v>0</v>
      </c>
    </row>
    <row r="67">
      <c r="A67" t="str">
        <v>HD16</v>
      </c>
      <c r="B67">
        <v>458249240</v>
      </c>
      <c r="C67">
        <v>0</v>
      </c>
    </row>
    <row r="68">
      <c r="A68" t="str">
        <v>VG18</v>
      </c>
      <c r="B68">
        <v>458249240</v>
      </c>
      <c r="C68">
        <v>0</v>
      </c>
    </row>
    <row r="69">
      <c r="A69" t="str">
        <v>Phú Mỹ - Nam Vân Phong</v>
      </c>
      <c r="B69">
        <v>458249240</v>
      </c>
      <c r="C69">
        <v>0</v>
      </c>
    </row>
    <row r="70">
      <c r="A70" t="str">
        <v>HD17</v>
      </c>
      <c r="B70">
        <v>434767500</v>
      </c>
      <c r="C70">
        <v>0</v>
      </c>
    </row>
    <row r="71">
      <c r="A71" t="str">
        <v>VG09</v>
      </c>
      <c r="B71">
        <v>434767500</v>
      </c>
      <c r="C71">
        <v>0</v>
      </c>
    </row>
    <row r="72">
      <c r="A72" t="str">
        <v>Tro ẩm Vĩnh Tân - Nghi Sơn</v>
      </c>
      <c r="B72">
        <v>434767500</v>
      </c>
      <c r="C72">
        <v>0</v>
      </c>
    </row>
    <row r="73">
      <c r="A73" t="str">
        <v>HD18</v>
      </c>
      <c r="B73">
        <v>1594429600</v>
      </c>
      <c r="C73">
        <v>0</v>
      </c>
    </row>
    <row r="74">
      <c r="A74" t="str">
        <v>VG15</v>
      </c>
      <c r="B74">
        <v>675363600</v>
      </c>
      <c r="C74">
        <v>0</v>
      </c>
    </row>
    <row r="75">
      <c r="A75" t="str">
        <v>Quặng Vĩnh Xương - HP</v>
      </c>
      <c r="B75">
        <v>675363600</v>
      </c>
      <c r="C75">
        <v>0</v>
      </c>
    </row>
    <row r="76">
      <c r="A76" t="str">
        <v>VG36</v>
      </c>
      <c r="B76">
        <v>919066000</v>
      </c>
      <c r="C76">
        <v>0</v>
      </c>
    </row>
    <row r="77">
      <c r="A77" t="str">
        <v>Xỉ Sơn Dương - Hậu Giang</v>
      </c>
      <c r="B77">
        <v>919066000</v>
      </c>
      <c r="C77">
        <v>0</v>
      </c>
    </row>
    <row r="78">
      <c r="A78" t="str">
        <v>HD2</v>
      </c>
      <c r="B78">
        <v>490256250</v>
      </c>
      <c r="C78">
        <v>0</v>
      </c>
    </row>
    <row r="79">
      <c r="A79" t="str">
        <v>VG05</v>
      </c>
      <c r="B79">
        <v>490256250</v>
      </c>
      <c r="C79">
        <v>0</v>
      </c>
    </row>
    <row r="80">
      <c r="A80" t="str">
        <v>Cát Vĩnh Xương - Đà Nẵng</v>
      </c>
      <c r="B80">
        <v>490256250</v>
      </c>
      <c r="C80">
        <v>0</v>
      </c>
    </row>
    <row r="81">
      <c r="A81" t="str">
        <v>HD20</v>
      </c>
      <c r="B81">
        <v>475318800</v>
      </c>
      <c r="C81">
        <v>0</v>
      </c>
      <c r="D81">
        <v>534733650</v>
      </c>
    </row>
    <row r="82">
      <c r="A82" t="str">
        <v>VG05</v>
      </c>
      <c r="B82">
        <v>475318800</v>
      </c>
      <c r="C82">
        <v>0</v>
      </c>
      <c r="D82">
        <v>534733650</v>
      </c>
    </row>
    <row r="83">
      <c r="A83" t="str">
        <v>Cát Vĩnh Xương - Đà Nẵng</v>
      </c>
      <c r="B83">
        <v>475318800</v>
      </c>
      <c r="C83">
        <v>0</v>
      </c>
      <c r="D83">
        <v>534733650</v>
      </c>
    </row>
    <row r="84">
      <c r="A84" t="str">
        <v>HD21</v>
      </c>
      <c r="B84">
        <v>915785000</v>
      </c>
      <c r="C84">
        <v>0</v>
      </c>
    </row>
    <row r="85">
      <c r="A85" t="str">
        <v>VG09</v>
      </c>
      <c r="B85">
        <v>915785000</v>
      </c>
      <c r="C85">
        <v>0</v>
      </c>
    </row>
    <row r="86">
      <c r="A86" t="str">
        <v>Xỉ Sơn Dương - Hậu Giang</v>
      </c>
      <c r="B86">
        <v>915785000</v>
      </c>
      <c r="C86">
        <v>0</v>
      </c>
    </row>
    <row r="87">
      <c r="A87" t="str">
        <v>HD22</v>
      </c>
      <c r="B87">
        <v>680724250</v>
      </c>
      <c r="C87">
        <v>-5800.000000119209</v>
      </c>
      <c r="D87">
        <v>680730050</v>
      </c>
    </row>
    <row r="88">
      <c r="A88" t="str">
        <v>VG36</v>
      </c>
      <c r="B88">
        <v>680724250</v>
      </c>
      <c r="C88">
        <v>-5800.000000119209</v>
      </c>
      <c r="D88">
        <v>680730050</v>
      </c>
    </row>
    <row r="89">
      <c r="A89" t="str">
        <v>Quặng Vĩnh Xương - Hải Phòng</v>
      </c>
      <c r="B89">
        <v>680724250</v>
      </c>
      <c r="C89">
        <v>-5800.000000119209</v>
      </c>
      <c r="D89">
        <v>680730050</v>
      </c>
    </row>
    <row r="90">
      <c r="A90" t="str">
        <v>HD23</v>
      </c>
      <c r="B90">
        <v>925628000</v>
      </c>
      <c r="C90">
        <v>0</v>
      </c>
      <c r="D90">
        <v>925628000</v>
      </c>
    </row>
    <row r="91">
      <c r="A91" t="str">
        <v>VG15</v>
      </c>
      <c r="B91">
        <v>925628000</v>
      </c>
      <c r="C91">
        <v>0</v>
      </c>
      <c r="D91">
        <v>925628000</v>
      </c>
    </row>
    <row r="92">
      <c r="A92" t="str">
        <v>Xỉ Sơn Dương - Hậu Giang</v>
      </c>
      <c r="B92">
        <v>925628000</v>
      </c>
      <c r="C92">
        <v>0</v>
      </c>
      <c r="D92">
        <v>925628000</v>
      </c>
    </row>
    <row r="93">
      <c r="A93" t="str">
        <v>HD24</v>
      </c>
      <c r="B93">
        <v>1494806250</v>
      </c>
      <c r="C93">
        <v>0</v>
      </c>
      <c r="D93">
        <v>1494806250</v>
      </c>
    </row>
    <row r="94">
      <c r="A94" t="str">
        <v>VG18</v>
      </c>
      <c r="B94">
        <v>1494806250</v>
      </c>
      <c r="C94">
        <v>0</v>
      </c>
      <c r="D94">
        <v>1494806250</v>
      </c>
    </row>
    <row r="95">
      <c r="A95" t="str">
        <v>Cliker Hòn La - Hậu Giang</v>
      </c>
      <c r="B95">
        <v>1494806250</v>
      </c>
      <c r="C95">
        <v>0</v>
      </c>
      <c r="D95">
        <v>1494806250</v>
      </c>
    </row>
    <row r="96">
      <c r="A96" t="str">
        <v>HD25</v>
      </c>
      <c r="B96">
        <v>819918000</v>
      </c>
      <c r="C96">
        <v>0</v>
      </c>
      <c r="D96">
        <v>467913200</v>
      </c>
    </row>
    <row r="97">
      <c r="A97" t="str">
        <v>VG05</v>
      </c>
      <c r="B97">
        <v>819918000</v>
      </c>
      <c r="C97">
        <v>0</v>
      </c>
      <c r="D97">
        <v>467913200</v>
      </c>
    </row>
    <row r="98">
      <c r="A98" t="str">
        <v>Clinker Hòn La  - Cần Thơ</v>
      </c>
      <c r="B98">
        <v>819918000</v>
      </c>
      <c r="C98">
        <v>0</v>
      </c>
      <c r="D98">
        <v>467913200</v>
      </c>
    </row>
    <row r="99">
      <c r="A99" t="str">
        <v>HD26</v>
      </c>
      <c r="B99">
        <v>552586800</v>
      </c>
      <c r="C99">
        <v>0</v>
      </c>
      <c r="D99">
        <v>297037450</v>
      </c>
      <c r="E99">
        <v>347647150</v>
      </c>
    </row>
    <row r="100">
      <c r="A100" t="str">
        <v>VG09</v>
      </c>
      <c r="B100">
        <v>552586800</v>
      </c>
      <c r="C100">
        <v>0</v>
      </c>
      <c r="D100">
        <v>297037450</v>
      </c>
      <c r="E100">
        <v>347647150</v>
      </c>
    </row>
    <row r="101">
      <c r="A101" t="str">
        <v>Cát Vĩnh Xương - Đà Nẵng</v>
      </c>
      <c r="B101">
        <v>552586800</v>
      </c>
      <c r="C101">
        <v>0</v>
      </c>
      <c r="D101">
        <v>297037450</v>
      </c>
      <c r="E101">
        <v>347647150</v>
      </c>
    </row>
    <row r="102">
      <c r="A102" t="str">
        <v>HD27</v>
      </c>
      <c r="B102">
        <v>562310400</v>
      </c>
      <c r="C102">
        <v>0</v>
      </c>
      <c r="E102">
        <v>656028800</v>
      </c>
    </row>
    <row r="103">
      <c r="A103" t="str">
        <v>VG15</v>
      </c>
      <c r="B103">
        <v>562310400</v>
      </c>
      <c r="C103">
        <v>0</v>
      </c>
      <c r="E103">
        <v>656028800</v>
      </c>
    </row>
    <row r="104">
      <c r="A104" t="str">
        <v>Cát Vĩnh Xương - Đà Nẵng</v>
      </c>
      <c r="B104">
        <v>562310400</v>
      </c>
      <c r="C104">
        <v>0</v>
      </c>
      <c r="E104">
        <v>656028800</v>
      </c>
    </row>
    <row r="105">
      <c r="A105" t="str">
        <v>HD28</v>
      </c>
      <c r="B105">
        <v>1599654000</v>
      </c>
      <c r="C105">
        <v>0</v>
      </c>
      <c r="D105">
        <v>1799610750</v>
      </c>
    </row>
    <row r="106">
      <c r="A106" t="str">
        <v>VG18</v>
      </c>
      <c r="B106">
        <v>1599654000</v>
      </c>
      <c r="C106">
        <v>0</v>
      </c>
      <c r="D106">
        <v>1799610750</v>
      </c>
    </row>
    <row r="107">
      <c r="A107" t="str">
        <v>Xỉ Sơn Dương - HCM</v>
      </c>
      <c r="B107">
        <v>1599654000</v>
      </c>
      <c r="C107">
        <v>0</v>
      </c>
      <c r="D107">
        <v>1799610750</v>
      </c>
    </row>
    <row r="108">
      <c r="A108" t="str">
        <v>HD29</v>
      </c>
      <c r="B108">
        <v>995400000</v>
      </c>
      <c r="C108">
        <v>0</v>
      </c>
      <c r="D108">
        <v>1137600000</v>
      </c>
    </row>
    <row r="109">
      <c r="A109" t="str">
        <v>VG09</v>
      </c>
      <c r="B109">
        <v>995400000</v>
      </c>
      <c r="C109">
        <v>0</v>
      </c>
      <c r="D109">
        <v>1137600000</v>
      </c>
    </row>
    <row r="110">
      <c r="A110" t="str">
        <v>Xỉ Sơn Dương - XM Tây Đô</v>
      </c>
      <c r="B110">
        <v>995400000</v>
      </c>
      <c r="C110">
        <v>0</v>
      </c>
      <c r="D110">
        <v>1137600000</v>
      </c>
    </row>
    <row r="111">
      <c r="A111" t="str">
        <v>HD3</v>
      </c>
      <c r="B111">
        <v>880962000</v>
      </c>
      <c r="C111">
        <v>0</v>
      </c>
    </row>
    <row r="112">
      <c r="A112" t="str">
        <v>VG15</v>
      </c>
      <c r="B112">
        <v>880962000</v>
      </c>
      <c r="C112">
        <v>0</v>
      </c>
    </row>
    <row r="113">
      <c r="A113" t="str">
        <v>Xỉ Sơn Dương - Hậu Giang</v>
      </c>
      <c r="B113">
        <v>880962000</v>
      </c>
      <c r="C113">
        <v>0</v>
      </c>
    </row>
    <row r="114">
      <c r="A114" t="str">
        <v>HD30</v>
      </c>
      <c r="B114">
        <v>923562900</v>
      </c>
      <c r="C114">
        <v>0</v>
      </c>
      <c r="D114">
        <v>923562900</v>
      </c>
    </row>
    <row r="115">
      <c r="A115" t="str">
        <v>VG36</v>
      </c>
      <c r="B115">
        <v>923562900</v>
      </c>
      <c r="C115">
        <v>0</v>
      </c>
      <c r="D115">
        <v>923562900</v>
      </c>
    </row>
    <row r="116">
      <c r="A116" t="str">
        <v>Clinker Hòn La - HCM</v>
      </c>
      <c r="B116">
        <v>923562900</v>
      </c>
      <c r="C116">
        <v>0</v>
      </c>
      <c r="D116">
        <v>923562900</v>
      </c>
    </row>
    <row r="117">
      <c r="A117" t="str">
        <v>HD31</v>
      </c>
      <c r="B117">
        <v>346465800</v>
      </c>
      <c r="C117">
        <v>0</v>
      </c>
      <c r="D117">
        <v>346465800</v>
      </c>
    </row>
    <row r="118">
      <c r="A118" t="str">
        <v>VG05</v>
      </c>
      <c r="B118">
        <v>346465800</v>
      </c>
      <c r="C118">
        <v>0</v>
      </c>
      <c r="D118">
        <v>346465800</v>
      </c>
    </row>
    <row r="119">
      <c r="A119" t="str">
        <v>Than Quảng Ninh - Nghi Sơn</v>
      </c>
      <c r="B119">
        <v>346465800</v>
      </c>
      <c r="C119">
        <v>0</v>
      </c>
      <c r="D119">
        <v>346465800</v>
      </c>
    </row>
    <row r="120">
      <c r="A120" t="str">
        <v>HD32</v>
      </c>
      <c r="B120">
        <v>510000000</v>
      </c>
      <c r="C120">
        <v>0</v>
      </c>
      <c r="D120">
        <v>510000000</v>
      </c>
    </row>
    <row r="121">
      <c r="A121" t="str">
        <v>VG36</v>
      </c>
      <c r="B121">
        <v>510000000</v>
      </c>
      <c r="C121">
        <v>0</v>
      </c>
      <c r="D121">
        <v>510000000</v>
      </c>
    </row>
    <row r="122">
      <c r="A122" t="str">
        <v>Than Gò Da - Đà Nẵng</v>
      </c>
      <c r="B122">
        <v>510000000</v>
      </c>
      <c r="C122">
        <v>0</v>
      </c>
      <c r="D122">
        <v>510000000</v>
      </c>
    </row>
    <row r="123">
      <c r="A123" t="str">
        <v>HD33</v>
      </c>
      <c r="B123">
        <v>603790110</v>
      </c>
      <c r="C123">
        <v>0</v>
      </c>
      <c r="D123">
        <v>603790110</v>
      </c>
    </row>
    <row r="124">
      <c r="A124" t="str">
        <v>VG05</v>
      </c>
      <c r="B124">
        <v>603790110</v>
      </c>
      <c r="C124">
        <v>0</v>
      </c>
      <c r="D124">
        <v>603790110</v>
      </c>
    </row>
    <row r="125">
      <c r="A125" t="str">
        <v>Quặng Vĩnh Xương - Hải Phòng</v>
      </c>
      <c r="B125">
        <v>603790110</v>
      </c>
      <c r="C125">
        <v>0</v>
      </c>
      <c r="D125">
        <v>603790110</v>
      </c>
    </row>
    <row r="126">
      <c r="A126" t="str">
        <v>HD34</v>
      </c>
      <c r="B126">
        <v>1116447400</v>
      </c>
      <c r="C126">
        <v>0</v>
      </c>
      <c r="E126">
        <v>1116447400</v>
      </c>
    </row>
    <row r="127">
      <c r="A127" t="str">
        <v>VG15</v>
      </c>
      <c r="B127">
        <v>1116447400</v>
      </c>
      <c r="C127">
        <v>0</v>
      </c>
      <c r="E127">
        <v>1116447400</v>
      </c>
    </row>
    <row r="128">
      <c r="A128" t="str">
        <v>Chân Mây - Hâụ Giang</v>
      </c>
      <c r="B128">
        <v>1116447400</v>
      </c>
      <c r="C128">
        <v>0</v>
      </c>
      <c r="E128">
        <v>1116447400</v>
      </c>
    </row>
    <row r="129">
      <c r="A129" t="str">
        <v>HD35</v>
      </c>
      <c r="B129">
        <v>1180433520</v>
      </c>
      <c r="C129">
        <v>0</v>
      </c>
      <c r="E129">
        <v>1180433520</v>
      </c>
    </row>
    <row r="130">
      <c r="A130" t="str">
        <v>VG18</v>
      </c>
      <c r="B130">
        <v>1180433520</v>
      </c>
      <c r="C130">
        <v>0</v>
      </c>
      <c r="E130">
        <v>1180433520</v>
      </c>
    </row>
    <row r="131">
      <c r="A131" t="str">
        <v>Tôn Cuộn Gò Dầu - Hải Phòng</v>
      </c>
      <c r="B131">
        <v>1180433520</v>
      </c>
      <c r="C131">
        <v>0</v>
      </c>
      <c r="E131">
        <v>1180433520</v>
      </c>
    </row>
    <row r="132">
      <c r="A132" t="str">
        <v>HD36</v>
      </c>
      <c r="B132">
        <v>688378499.9999999</v>
      </c>
      <c r="C132">
        <v>780162299.9999999</v>
      </c>
    </row>
    <row r="133">
      <c r="A133" t="str">
        <v>VG09</v>
      </c>
      <c r="B133">
        <v>688378499.9999999</v>
      </c>
      <c r="C133">
        <v>780162299.9999999</v>
      </c>
    </row>
    <row r="134">
      <c r="A134" t="str">
        <v>Cát Vĩnh Xương - Đà Nẵng</v>
      </c>
      <c r="B134">
        <v>688378499.9999999</v>
      </c>
      <c r="C134">
        <v>780162299.9999999</v>
      </c>
    </row>
    <row r="135">
      <c r="A135" t="str">
        <v>HD37</v>
      </c>
      <c r="B135">
        <v>1011241000</v>
      </c>
      <c r="C135">
        <v>0</v>
      </c>
      <c r="E135">
        <v>1011241000</v>
      </c>
    </row>
    <row r="136">
      <c r="A136" t="str">
        <v>VG05</v>
      </c>
      <c r="B136">
        <v>1011241000</v>
      </c>
      <c r="C136">
        <v>0</v>
      </c>
      <c r="E136">
        <v>1011241000</v>
      </c>
    </row>
    <row r="137">
      <c r="A137" t="str">
        <v>Xỉ Sơn Dương - Hậu Giang</v>
      </c>
      <c r="B137">
        <v>1011241000</v>
      </c>
      <c r="C137">
        <v>0</v>
      </c>
      <c r="E137">
        <v>1011241000</v>
      </c>
    </row>
    <row r="138">
      <c r="A138" t="str">
        <v>HD38</v>
      </c>
      <c r="B138">
        <v>1159860870</v>
      </c>
      <c r="C138">
        <v>0</v>
      </c>
      <c r="E138">
        <v>1159860870</v>
      </c>
    </row>
    <row r="139">
      <c r="A139" t="str">
        <v>VG36</v>
      </c>
      <c r="B139">
        <v>1159860870</v>
      </c>
      <c r="C139">
        <v>0</v>
      </c>
      <c r="E139">
        <v>1159860870</v>
      </c>
    </row>
    <row r="140">
      <c r="A140" t="str">
        <v>Xỉ Sơn Dương - HCM</v>
      </c>
      <c r="B140">
        <v>1159860870</v>
      </c>
      <c r="C140">
        <v>0</v>
      </c>
      <c r="E140">
        <v>1159860870</v>
      </c>
    </row>
    <row r="141">
      <c r="A141" t="str">
        <v>HD39</v>
      </c>
      <c r="B141">
        <v>836162200</v>
      </c>
      <c r="C141">
        <v>836162200.0000001</v>
      </c>
    </row>
    <row r="142">
      <c r="A142" t="str">
        <v>VG18</v>
      </c>
      <c r="B142">
        <v>836162200</v>
      </c>
      <c r="C142">
        <v>836162200.0000001</v>
      </c>
    </row>
    <row r="143">
      <c r="A143" t="str">
        <v>Than Quảng Ninh - Hòn La</v>
      </c>
      <c r="B143">
        <v>836162200</v>
      </c>
      <c r="C143">
        <v>836162200.0000001</v>
      </c>
    </row>
    <row r="144">
      <c r="A144" t="str">
        <v>HD40</v>
      </c>
      <c r="B144">
        <v>679075600</v>
      </c>
      <c r="C144">
        <v>679075600</v>
      </c>
    </row>
    <row r="145">
      <c r="A145" t="str">
        <v>VG15</v>
      </c>
      <c r="B145">
        <v>679075600</v>
      </c>
      <c r="C145">
        <v>679075600</v>
      </c>
    </row>
    <row r="146">
      <c r="A146" t="str">
        <v>Cát Vĩnh Xương - Đà Nẵng</v>
      </c>
      <c r="B146">
        <v>679075600</v>
      </c>
      <c r="C146">
        <v>679075600</v>
      </c>
    </row>
    <row r="147">
      <c r="A147" t="str">
        <v>HD41</v>
      </c>
      <c r="B147">
        <v>617121650</v>
      </c>
      <c r="C147">
        <v>617121649.9999999</v>
      </c>
    </row>
    <row r="148">
      <c r="A148" t="str">
        <v>VG05</v>
      </c>
      <c r="B148">
        <v>617121650</v>
      </c>
      <c r="C148">
        <v>617121649.9999999</v>
      </c>
    </row>
    <row r="149">
      <c r="A149" t="str">
        <v>Cát Vĩnh Xương - Đà Nẵng</v>
      </c>
      <c r="B149">
        <v>617121650</v>
      </c>
      <c r="C149">
        <v>617121649.9999999</v>
      </c>
    </row>
    <row r="150">
      <c r="A150" t="str">
        <v>HD42</v>
      </c>
      <c r="B150">
        <v>1288287000</v>
      </c>
      <c r="C150">
        <v>0</v>
      </c>
      <c r="E150">
        <v>1288287000</v>
      </c>
    </row>
    <row r="151">
      <c r="A151" t="str">
        <v>VG09</v>
      </c>
      <c r="B151">
        <v>1288287000</v>
      </c>
      <c r="C151">
        <v>0</v>
      </c>
      <c r="E151">
        <v>1288287000</v>
      </c>
    </row>
    <row r="152">
      <c r="A152" t="str">
        <v>Xỉ Sơn Dương - Hậu Giang</v>
      </c>
      <c r="B152">
        <v>1288287000</v>
      </c>
      <c r="C152">
        <v>0</v>
      </c>
      <c r="E152">
        <v>1288287000</v>
      </c>
    </row>
    <row r="153">
      <c r="A153" t="str">
        <v>HD43</v>
      </c>
      <c r="B153">
        <v>2010852000</v>
      </c>
      <c r="C153">
        <v>2010852000.0000002</v>
      </c>
    </row>
    <row r="154">
      <c r="A154" t="str">
        <v>VG18</v>
      </c>
      <c r="B154">
        <v>2010852000</v>
      </c>
      <c r="C154">
        <v>2010852000.0000002</v>
      </c>
    </row>
    <row r="155">
      <c r="A155" t="str">
        <v>Xỉ Sơn Dương - Hậu Giang</v>
      </c>
      <c r="B155">
        <v>2010852000</v>
      </c>
      <c r="C155">
        <v>2010852000.0000002</v>
      </c>
    </row>
    <row r="156">
      <c r="A156" t="str">
        <v>HD44</v>
      </c>
      <c r="B156">
        <v>1213135000</v>
      </c>
      <c r="C156">
        <v>1213135000</v>
      </c>
    </row>
    <row r="157">
      <c r="A157" t="str">
        <v>VG15</v>
      </c>
      <c r="B157">
        <v>1213135000</v>
      </c>
      <c r="C157">
        <v>1213135000</v>
      </c>
    </row>
    <row r="158">
      <c r="A158" t="str">
        <v>Xỉ Sơn Dương - Hậu Giang</v>
      </c>
      <c r="B158">
        <v>1213135000</v>
      </c>
      <c r="C158">
        <v>1213135000</v>
      </c>
    </row>
    <row r="159">
      <c r="A159" t="str">
        <v>HD45</v>
      </c>
      <c r="B159">
        <v>841736700</v>
      </c>
      <c r="C159">
        <v>841736700</v>
      </c>
    </row>
    <row r="160">
      <c r="A160" t="str">
        <v>VG05</v>
      </c>
      <c r="B160">
        <v>841736700</v>
      </c>
      <c r="C160">
        <v>841736700</v>
      </c>
    </row>
    <row r="161">
      <c r="A161" t="str">
        <v>Clinker - Chân Mây Hậu Giang</v>
      </c>
      <c r="B161">
        <v>841736700</v>
      </c>
      <c r="C161">
        <v>841736700</v>
      </c>
    </row>
    <row r="162">
      <c r="A162" t="str">
        <v>HD46</v>
      </c>
      <c r="B162">
        <v>687807407</v>
      </c>
      <c r="C162">
        <v>410000000</v>
      </c>
    </row>
    <row r="163">
      <c r="A163" t="str">
        <v>VG36</v>
      </c>
      <c r="B163">
        <v>687807407</v>
      </c>
      <c r="C163">
        <v>410000000</v>
      </c>
    </row>
    <row r="164">
      <c r="A164" t="str">
        <v>Gỗ - Sài Gòn - Đà Nẵng</v>
      </c>
      <c r="B164">
        <v>687807407</v>
      </c>
      <c r="C164">
        <v>410000000</v>
      </c>
    </row>
    <row r="165">
      <c r="A165" t="str">
        <v>HD47</v>
      </c>
      <c r="B165">
        <v>1004856300</v>
      </c>
      <c r="C165">
        <v>1004856299.9999999</v>
      </c>
    </row>
    <row r="166">
      <c r="A166" t="str">
        <v>VG36</v>
      </c>
      <c r="B166">
        <v>1004856300</v>
      </c>
      <c r="C166">
        <v>1004856299.9999999</v>
      </c>
    </row>
    <row r="167">
      <c r="A167" t="str">
        <v>Clinker - Chân Mây Hậu Giang</v>
      </c>
      <c r="B167">
        <v>1004856300</v>
      </c>
      <c r="C167">
        <v>1004856299.9999999</v>
      </c>
    </row>
    <row r="168">
      <c r="A168" t="str">
        <v>HD48</v>
      </c>
      <c r="B168">
        <v>1859256000</v>
      </c>
      <c r="C168">
        <v>1859256000</v>
      </c>
    </row>
    <row r="169">
      <c r="A169" t="str">
        <v>VG18</v>
      </c>
      <c r="B169">
        <v>1859256000</v>
      </c>
      <c r="C169">
        <v>1859256000</v>
      </c>
    </row>
    <row r="170">
      <c r="A170" t="str">
        <v>Xỉ Sơn Dương - Hậu Giang</v>
      </c>
      <c r="B170">
        <v>1859256000</v>
      </c>
      <c r="C170">
        <v>1859256000</v>
      </c>
    </row>
    <row r="171">
      <c r="A171" t="str">
        <v>HD49</v>
      </c>
      <c r="B171">
        <v>612699100</v>
      </c>
      <c r="C171">
        <v>612699100</v>
      </c>
    </row>
    <row r="172">
      <c r="A172" t="str">
        <v>VG15</v>
      </c>
      <c r="B172">
        <v>612699100</v>
      </c>
      <c r="C172">
        <v>612699100</v>
      </c>
    </row>
    <row r="173">
      <c r="A173" t="str">
        <v>Cát Vĩnh Xương - Đà Nẵng</v>
      </c>
      <c r="B173">
        <v>612699100</v>
      </c>
      <c r="C173">
        <v>612699100</v>
      </c>
    </row>
    <row r="174">
      <c r="A174" t="str">
        <v>HD5</v>
      </c>
      <c r="B174">
        <v>596295700</v>
      </c>
      <c r="C174">
        <v>0</v>
      </c>
    </row>
    <row r="175">
      <c r="A175" t="str">
        <v>VG36</v>
      </c>
      <c r="B175">
        <v>596295700</v>
      </c>
      <c r="C175">
        <v>0</v>
      </c>
    </row>
    <row r="176">
      <c r="A176" t="str">
        <v>Cát Vĩnh Xương - Đà Nẵng</v>
      </c>
      <c r="B176">
        <v>596295700</v>
      </c>
      <c r="C176">
        <v>0</v>
      </c>
    </row>
    <row r="177">
      <c r="A177" t="str">
        <v>HD50</v>
      </c>
      <c r="B177">
        <v>818640000</v>
      </c>
      <c r="C177">
        <v>468640000</v>
      </c>
      <c r="D177">
        <v>350000000</v>
      </c>
    </row>
    <row r="178">
      <c r="A178" t="str">
        <v>VG09</v>
      </c>
      <c r="B178">
        <v>818640000</v>
      </c>
      <c r="C178">
        <v>468640000</v>
      </c>
      <c r="D178">
        <v>350000000</v>
      </c>
    </row>
    <row r="179">
      <c r="A179" t="str">
        <v>Cát Vĩnh Xương - Huy Văn</v>
      </c>
      <c r="B179">
        <v>818640000</v>
      </c>
      <c r="C179">
        <v>468640000</v>
      </c>
      <c r="D179">
        <v>350000000</v>
      </c>
    </row>
    <row r="180">
      <c r="A180" t="str">
        <v>HD51</v>
      </c>
      <c r="B180">
        <v>632230400</v>
      </c>
      <c r="C180">
        <v>632230400.0000001</v>
      </c>
    </row>
    <row r="181">
      <c r="A181" t="str">
        <v>VG05</v>
      </c>
      <c r="B181">
        <v>632230400</v>
      </c>
      <c r="C181">
        <v>632230400.0000001</v>
      </c>
    </row>
    <row r="182">
      <c r="A182" t="str">
        <v>Quặng Vĩnh Xương - Hải Phòng</v>
      </c>
      <c r="B182">
        <v>632230400</v>
      </c>
      <c r="C182">
        <v>632230400.0000001</v>
      </c>
    </row>
    <row r="183">
      <c r="A183" t="str">
        <v>HD52</v>
      </c>
      <c r="B183">
        <v>834047250</v>
      </c>
      <c r="C183">
        <v>586891250</v>
      </c>
    </row>
    <row r="184">
      <c r="A184" t="str">
        <v>VG36</v>
      </c>
      <c r="B184">
        <v>586891250</v>
      </c>
      <c r="C184">
        <v>586891250</v>
      </c>
    </row>
    <row r="185">
      <c r="A185" t="str">
        <v>Cát Vĩnh Xương - Đà Nẵng</v>
      </c>
      <c r="B185">
        <v>586891250</v>
      </c>
      <c r="C185">
        <v>586891250</v>
      </c>
    </row>
    <row r="186">
      <c r="A186" t="str">
        <v>(blank)</v>
      </c>
      <c r="B186">
        <v>247156000</v>
      </c>
      <c r="C186">
        <v>0</v>
      </c>
    </row>
    <row r="187">
      <c r="A187" t="str">
        <v>(blank)</v>
      </c>
      <c r="B187">
        <v>247156000</v>
      </c>
      <c r="C187">
        <v>0</v>
      </c>
    </row>
    <row r="188">
      <c r="A188" t="str">
        <v>HD58</v>
      </c>
      <c r="B188">
        <v>799147900</v>
      </c>
      <c r="C188">
        <v>0</v>
      </c>
    </row>
    <row r="189">
      <c r="A189" t="str">
        <v>(blank)</v>
      </c>
      <c r="B189">
        <v>799147900</v>
      </c>
      <c r="C189">
        <v>0</v>
      </c>
    </row>
    <row r="190">
      <c r="A190" t="str">
        <v>(blank)</v>
      </c>
      <c r="B190">
        <v>799147900</v>
      </c>
      <c r="C190">
        <v>0</v>
      </c>
    </row>
    <row r="191">
      <c r="A191" t="str">
        <v>HD59</v>
      </c>
      <c r="B191">
        <v>532494000</v>
      </c>
      <c r="C191">
        <v>0</v>
      </c>
    </row>
    <row r="192">
      <c r="A192" t="str">
        <v>(blank)</v>
      </c>
      <c r="B192">
        <v>532494000</v>
      </c>
      <c r="C192">
        <v>0</v>
      </c>
    </row>
    <row r="193">
      <c r="A193" t="str">
        <v>(blank)</v>
      </c>
      <c r="B193">
        <v>532494000</v>
      </c>
      <c r="C193">
        <v>0</v>
      </c>
    </row>
    <row r="194">
      <c r="A194" t="str">
        <v>HD6</v>
      </c>
      <c r="B194">
        <v>573185000</v>
      </c>
      <c r="C194">
        <v>0</v>
      </c>
    </row>
    <row r="195">
      <c r="A195" t="str">
        <v>VG09</v>
      </c>
      <c r="B195">
        <v>573185000</v>
      </c>
      <c r="C195">
        <v>0</v>
      </c>
    </row>
    <row r="196">
      <c r="A196" t="str">
        <v>Cát Vĩnh Xương - Đà Nẵng</v>
      </c>
      <c r="B196">
        <v>573185000</v>
      </c>
      <c r="C196">
        <v>0</v>
      </c>
    </row>
    <row r="197">
      <c r="A197" t="str">
        <v>HD60</v>
      </c>
      <c r="B197">
        <v>376556800</v>
      </c>
      <c r="C197">
        <v>0</v>
      </c>
    </row>
    <row r="198">
      <c r="A198" t="str">
        <v>(blank)</v>
      </c>
      <c r="B198">
        <v>376556800</v>
      </c>
      <c r="C198">
        <v>0</v>
      </c>
    </row>
    <row r="199">
      <c r="A199" t="str">
        <v>(blank)</v>
      </c>
      <c r="B199">
        <v>376556800</v>
      </c>
      <c r="C199">
        <v>0</v>
      </c>
    </row>
    <row r="200">
      <c r="A200" t="str">
        <v>HD61</v>
      </c>
      <c r="B200">
        <v>632512800</v>
      </c>
      <c r="C200">
        <v>0</v>
      </c>
    </row>
    <row r="201">
      <c r="A201" t="str">
        <v>(blank)</v>
      </c>
      <c r="B201">
        <v>632512800</v>
      </c>
      <c r="C201">
        <v>0</v>
      </c>
    </row>
    <row r="202">
      <c r="A202" t="str">
        <v>(blank)</v>
      </c>
      <c r="B202">
        <v>632512800</v>
      </c>
      <c r="C202">
        <v>0</v>
      </c>
    </row>
    <row r="203">
      <c r="A203" t="str">
        <v>HD62</v>
      </c>
      <c r="B203">
        <v>528244450.00000006</v>
      </c>
      <c r="C203">
        <v>0</v>
      </c>
    </row>
    <row r="204">
      <c r="A204" t="str">
        <v>(blank)</v>
      </c>
      <c r="B204">
        <v>528244450.00000006</v>
      </c>
      <c r="C204">
        <v>0</v>
      </c>
    </row>
    <row r="205">
      <c r="A205" t="str">
        <v>(blank)</v>
      </c>
      <c r="B205">
        <v>528244450.00000006</v>
      </c>
      <c r="C205">
        <v>0</v>
      </c>
    </row>
    <row r="206">
      <c r="A206" t="str">
        <v>HD63</v>
      </c>
      <c r="B206">
        <v>250380000</v>
      </c>
      <c r="C206">
        <v>0</v>
      </c>
    </row>
    <row r="207">
      <c r="A207" t="str">
        <v>(blank)</v>
      </c>
      <c r="B207">
        <v>250380000</v>
      </c>
      <c r="C207">
        <v>0</v>
      </c>
    </row>
    <row r="208">
      <c r="A208" t="str">
        <v>(blank)</v>
      </c>
      <c r="B208">
        <v>250380000</v>
      </c>
      <c r="C208">
        <v>0</v>
      </c>
    </row>
    <row r="209">
      <c r="A209" t="str">
        <v>HD64</v>
      </c>
      <c r="B209">
        <v>692584740</v>
      </c>
      <c r="C209">
        <v>0</v>
      </c>
    </row>
    <row r="210">
      <c r="A210" t="str">
        <v>(blank)</v>
      </c>
      <c r="B210">
        <v>692584740</v>
      </c>
      <c r="C210">
        <v>0</v>
      </c>
    </row>
    <row r="211">
      <c r="A211" t="str">
        <v>(blank)</v>
      </c>
      <c r="B211">
        <v>692584740</v>
      </c>
      <c r="C211">
        <v>0</v>
      </c>
    </row>
    <row r="212">
      <c r="A212" t="str">
        <v>HD65</v>
      </c>
      <c r="B212">
        <v>809164300</v>
      </c>
      <c r="C212">
        <v>0</v>
      </c>
    </row>
    <row r="213">
      <c r="A213" t="str">
        <v>(blank)</v>
      </c>
      <c r="B213">
        <v>809164300</v>
      </c>
      <c r="C213">
        <v>0</v>
      </c>
    </row>
    <row r="214">
      <c r="A214" t="str">
        <v>(blank)</v>
      </c>
      <c r="B214">
        <v>809164300</v>
      </c>
      <c r="C214">
        <v>0</v>
      </c>
    </row>
    <row r="215">
      <c r="A215" t="str">
        <v>HD66</v>
      </c>
      <c r="B215">
        <v>300000000</v>
      </c>
      <c r="C215">
        <v>0</v>
      </c>
    </row>
    <row r="216">
      <c r="A216" t="str">
        <v>(blank)</v>
      </c>
      <c r="B216">
        <v>300000000</v>
      </c>
      <c r="C216">
        <v>0</v>
      </c>
    </row>
    <row r="217">
      <c r="A217" t="str">
        <v>(blank)</v>
      </c>
      <c r="B217">
        <v>300000000</v>
      </c>
      <c r="C217">
        <v>0</v>
      </c>
    </row>
    <row r="218">
      <c r="A218" t="str">
        <v>HD67</v>
      </c>
      <c r="B218">
        <v>854118000.0000001</v>
      </c>
      <c r="C218">
        <v>0</v>
      </c>
    </row>
    <row r="219">
      <c r="A219" t="str">
        <v>(blank)</v>
      </c>
      <c r="B219">
        <v>854118000.0000001</v>
      </c>
      <c r="C219">
        <v>0</v>
      </c>
    </row>
    <row r="220">
      <c r="A220" t="str">
        <v>(blank)</v>
      </c>
      <c r="B220">
        <v>854118000.0000001</v>
      </c>
      <c r="C220">
        <v>0</v>
      </c>
    </row>
    <row r="221">
      <c r="A221" t="str">
        <v>HD68</v>
      </c>
      <c r="B221">
        <v>652932099.9999999</v>
      </c>
      <c r="C221">
        <v>0</v>
      </c>
    </row>
    <row r="222">
      <c r="A222" t="str">
        <v>(blank)</v>
      </c>
      <c r="B222">
        <v>652932099.9999999</v>
      </c>
      <c r="C222">
        <v>0</v>
      </c>
    </row>
    <row r="223">
      <c r="A223" t="str">
        <v>(blank)</v>
      </c>
      <c r="B223">
        <v>652932099.9999999</v>
      </c>
      <c r="C223">
        <v>0</v>
      </c>
    </row>
    <row r="224">
      <c r="A224" t="str">
        <v>HD69</v>
      </c>
      <c r="B224">
        <v>720964800</v>
      </c>
      <c r="C224">
        <v>0</v>
      </c>
    </row>
    <row r="225">
      <c r="A225" t="str">
        <v>(blank)</v>
      </c>
      <c r="B225">
        <v>720964800</v>
      </c>
      <c r="C225">
        <v>0</v>
      </c>
    </row>
    <row r="226">
      <c r="A226" t="str">
        <v>(blank)</v>
      </c>
      <c r="B226">
        <v>720964800</v>
      </c>
      <c r="C226">
        <v>0</v>
      </c>
    </row>
    <row r="227">
      <c r="A227" t="str">
        <v>HD7</v>
      </c>
      <c r="B227">
        <v>695643200</v>
      </c>
      <c r="C227">
        <v>0</v>
      </c>
    </row>
    <row r="228">
      <c r="A228" t="str">
        <v>VG18</v>
      </c>
      <c r="B228">
        <v>695643200</v>
      </c>
      <c r="C228">
        <v>0</v>
      </c>
    </row>
    <row r="229">
      <c r="A229" t="str">
        <v>Tro ẩm Vĩnh Tân - Nghi Sơn</v>
      </c>
      <c r="B229">
        <v>695643200</v>
      </c>
      <c r="C229">
        <v>0</v>
      </c>
    </row>
    <row r="230">
      <c r="A230" t="str">
        <v>HD70</v>
      </c>
      <c r="B230">
        <v>1840000000</v>
      </c>
      <c r="C230">
        <v>360000000</v>
      </c>
    </row>
    <row r="231">
      <c r="A231" t="str">
        <v>(blank)</v>
      </c>
      <c r="B231">
        <v>1840000000</v>
      </c>
      <c r="C231">
        <v>360000000</v>
      </c>
    </row>
    <row r="232">
      <c r="A232" t="str">
        <v>(blank)</v>
      </c>
      <c r="B232">
        <v>1840000000</v>
      </c>
      <c r="C232">
        <v>360000000</v>
      </c>
    </row>
    <row r="233">
      <c r="A233" t="str">
        <v>HD71</v>
      </c>
      <c r="B233">
        <v>714945000</v>
      </c>
      <c r="C233">
        <v>0</v>
      </c>
    </row>
    <row r="234">
      <c r="A234" t="str">
        <v>(blank)</v>
      </c>
      <c r="B234">
        <v>714945000</v>
      </c>
      <c r="C234">
        <v>0</v>
      </c>
    </row>
    <row r="235">
      <c r="A235" t="str">
        <v>(blank)</v>
      </c>
      <c r="B235">
        <v>714945000</v>
      </c>
      <c r="C235">
        <v>0</v>
      </c>
    </row>
    <row r="236">
      <c r="A236" t="str">
        <v>HD7273</v>
      </c>
      <c r="B236">
        <v>460000000</v>
      </c>
      <c r="C236">
        <v>0</v>
      </c>
    </row>
    <row r="237">
      <c r="A237" t="str">
        <v>(blank)</v>
      </c>
      <c r="B237">
        <v>460000000</v>
      </c>
      <c r="C237">
        <v>0</v>
      </c>
    </row>
    <row r="238">
      <c r="A238" t="str">
        <v>(blank)</v>
      </c>
      <c r="B238">
        <v>460000000</v>
      </c>
      <c r="C238">
        <v>0</v>
      </c>
    </row>
    <row r="239">
      <c r="A239" t="str">
        <v>HD74</v>
      </c>
      <c r="B239">
        <v>893019000.0000001</v>
      </c>
      <c r="C239">
        <v>0</v>
      </c>
    </row>
    <row r="240">
      <c r="A240" t="str">
        <v>(blank)</v>
      </c>
      <c r="B240">
        <v>893019000.0000001</v>
      </c>
      <c r="C240">
        <v>0</v>
      </c>
    </row>
    <row r="241">
      <c r="A241" t="str">
        <v>(blank)</v>
      </c>
      <c r="B241">
        <v>893019000.0000001</v>
      </c>
      <c r="C241">
        <v>0</v>
      </c>
    </row>
    <row r="242">
      <c r="A242" t="str">
        <v>HD75</v>
      </c>
      <c r="B242">
        <v>810220000</v>
      </c>
      <c r="C242">
        <v>0</v>
      </c>
    </row>
    <row r="243">
      <c r="A243" t="str">
        <v>(blank)</v>
      </c>
      <c r="B243">
        <v>810220000</v>
      </c>
      <c r="C243">
        <v>0</v>
      </c>
    </row>
    <row r="244">
      <c r="A244" t="str">
        <v>(blank)</v>
      </c>
      <c r="B244">
        <v>810220000</v>
      </c>
      <c r="C244">
        <v>0</v>
      </c>
    </row>
    <row r="245">
      <c r="A245" t="str">
        <v>HD76</v>
      </c>
      <c r="B245">
        <v>581450000</v>
      </c>
      <c r="C245">
        <v>0</v>
      </c>
    </row>
    <row r="246">
      <c r="A246" t="str">
        <v>VG15</v>
      </c>
      <c r="B246">
        <v>581450000</v>
      </c>
      <c r="C246">
        <v>0</v>
      </c>
    </row>
    <row r="247">
      <c r="A247" t="str">
        <v>Cát Vĩnh Xương - Đà Nẵng</v>
      </c>
      <c r="B247">
        <v>581450000</v>
      </c>
      <c r="C247">
        <v>0</v>
      </c>
    </row>
    <row r="248">
      <c r="A248" t="str">
        <v>HD77</v>
      </c>
      <c r="B248">
        <v>310326480</v>
      </c>
      <c r="C248">
        <v>0</v>
      </c>
    </row>
    <row r="249">
      <c r="A249" t="str">
        <v>VG05</v>
      </c>
      <c r="B249">
        <v>310326480</v>
      </c>
      <c r="C249">
        <v>0</v>
      </c>
    </row>
    <row r="250">
      <c r="A250" t="str">
        <v>Đá Hòn La - Dung Quất</v>
      </c>
      <c r="B250">
        <v>310326480</v>
      </c>
      <c r="C250">
        <v>0</v>
      </c>
    </row>
    <row r="251">
      <c r="A251" t="str">
        <v>HD78</v>
      </c>
      <c r="B251">
        <v>620544600</v>
      </c>
      <c r="C251">
        <v>0</v>
      </c>
    </row>
    <row r="252">
      <c r="A252" t="str">
        <v>VG36</v>
      </c>
      <c r="B252">
        <v>620544600</v>
      </c>
      <c r="C252">
        <v>0</v>
      </c>
    </row>
    <row r="253">
      <c r="A253" t="str">
        <v>Cát Vĩnh Xương - Đà Nẵng</v>
      </c>
      <c r="B253">
        <v>620544600</v>
      </c>
      <c r="C253">
        <v>0</v>
      </c>
    </row>
    <row r="254">
      <c r="A254" t="str">
        <v>HD79</v>
      </c>
      <c r="B254">
        <v>619790160</v>
      </c>
      <c r="C254">
        <v>0</v>
      </c>
    </row>
    <row r="255">
      <c r="A255" t="str">
        <v>VG09</v>
      </c>
      <c r="B255">
        <v>619790160</v>
      </c>
      <c r="C255">
        <v>0</v>
      </c>
    </row>
    <row r="256">
      <c r="A256" t="str">
        <v>Xỉ mịn Dung Quất - HCM</v>
      </c>
      <c r="B256">
        <v>619790160</v>
      </c>
      <c r="C256">
        <v>0</v>
      </c>
    </row>
    <row r="257">
      <c r="A257" t="str">
        <v>HD8</v>
      </c>
      <c r="B257">
        <v>577403750</v>
      </c>
      <c r="C257">
        <v>0</v>
      </c>
    </row>
    <row r="258">
      <c r="A258" t="str">
        <v>VG15</v>
      </c>
      <c r="B258">
        <v>577403750</v>
      </c>
      <c r="C258">
        <v>0</v>
      </c>
    </row>
    <row r="259">
      <c r="A259" t="str">
        <v>Cát Vĩnh Xương - Đà Nẵng</v>
      </c>
      <c r="B259">
        <v>577403750</v>
      </c>
      <c r="C259">
        <v>0</v>
      </c>
    </row>
    <row r="260">
      <c r="A260" t="str">
        <v>HD80</v>
      </c>
      <c r="B260">
        <v>660346400</v>
      </c>
      <c r="C260">
        <v>0</v>
      </c>
    </row>
    <row r="261">
      <c r="A261" t="str">
        <v>VG15</v>
      </c>
      <c r="B261">
        <v>660346400</v>
      </c>
      <c r="C261">
        <v>0</v>
      </c>
    </row>
    <row r="262">
      <c r="A262" t="str">
        <v>Clinker Chân Mây - Hậu Giang</v>
      </c>
      <c r="B262">
        <v>660346400</v>
      </c>
      <c r="C262">
        <v>0</v>
      </c>
    </row>
    <row r="263">
      <c r="A263" t="str">
        <v>HD81</v>
      </c>
      <c r="B263">
        <v>520349700</v>
      </c>
      <c r="C263">
        <v>0</v>
      </c>
    </row>
    <row r="264">
      <c r="A264" t="str">
        <v>VG05</v>
      </c>
      <c r="B264">
        <v>520349700</v>
      </c>
      <c r="C264">
        <v>0</v>
      </c>
    </row>
    <row r="265">
      <c r="A265" t="str">
        <v>Đá Dung Quất - Hậu giang</v>
      </c>
      <c r="B265">
        <v>520349700</v>
      </c>
      <c r="C265">
        <v>0</v>
      </c>
    </row>
    <row r="266">
      <c r="A266" t="str">
        <v>HD82</v>
      </c>
      <c r="B266">
        <v>589966000</v>
      </c>
      <c r="C266">
        <v>0</v>
      </c>
    </row>
    <row r="267">
      <c r="A267" t="str">
        <v>VG09</v>
      </c>
      <c r="B267">
        <v>589966000</v>
      </c>
      <c r="C267">
        <v>0</v>
      </c>
    </row>
    <row r="268">
      <c r="A268" t="str">
        <v>Cát Vĩnh Xương - Đà Nẵng</v>
      </c>
      <c r="B268">
        <v>589966000</v>
      </c>
      <c r="C268">
        <v>0</v>
      </c>
    </row>
    <row r="269">
      <c r="A269" t="str">
        <v>HD83</v>
      </c>
      <c r="B269">
        <v>669674600</v>
      </c>
      <c r="C269">
        <v>0</v>
      </c>
    </row>
    <row r="270">
      <c r="A270" t="str">
        <v>VG36</v>
      </c>
      <c r="B270">
        <v>669674600</v>
      </c>
      <c r="C270">
        <v>0</v>
      </c>
    </row>
    <row r="271">
      <c r="A271" t="str">
        <v>Clinker Chân Mây - Hậu Giang</v>
      </c>
      <c r="B271">
        <v>669674600</v>
      </c>
      <c r="C271">
        <v>0</v>
      </c>
    </row>
    <row r="272">
      <c r="A272" t="str">
        <v>HD84</v>
      </c>
      <c r="B272">
        <v>581195000</v>
      </c>
      <c r="C272">
        <v>0</v>
      </c>
    </row>
    <row r="273">
      <c r="A273" t="str">
        <v>VG15</v>
      </c>
      <c r="B273">
        <v>581195000</v>
      </c>
      <c r="C273">
        <v>0</v>
      </c>
    </row>
    <row r="274">
      <c r="A274" t="str">
        <v>Cát Vĩnh Xương - Đà Nẵng</v>
      </c>
      <c r="B274">
        <v>581195000</v>
      </c>
      <c r="C274">
        <v>0</v>
      </c>
    </row>
    <row r="275">
      <c r="A275" t="str">
        <v>HD86</v>
      </c>
      <c r="B275">
        <v>399789000</v>
      </c>
      <c r="C275">
        <v>0</v>
      </c>
    </row>
    <row r="276">
      <c r="A276" t="str">
        <v>VG05</v>
      </c>
      <c r="B276">
        <v>399789000</v>
      </c>
      <c r="C276">
        <v>0</v>
      </c>
    </row>
    <row r="277">
      <c r="A277" t="str">
        <v>Than Đồng Nai - Hòn La</v>
      </c>
      <c r="B277">
        <v>399789000</v>
      </c>
      <c r="C277">
        <v>0</v>
      </c>
    </row>
    <row r="278">
      <c r="A278" t="str">
        <v>HD87</v>
      </c>
      <c r="B278">
        <v>664333600</v>
      </c>
      <c r="C278">
        <v>0</v>
      </c>
    </row>
    <row r="279">
      <c r="A279" t="str">
        <v>VG15</v>
      </c>
      <c r="B279">
        <v>664333600</v>
      </c>
      <c r="C279">
        <v>0</v>
      </c>
    </row>
    <row r="280">
      <c r="A280" t="str">
        <v>Clinker Chân Mây - Hậu Giang</v>
      </c>
      <c r="B280">
        <v>664333600</v>
      </c>
      <c r="C280">
        <v>0</v>
      </c>
    </row>
    <row r="281">
      <c r="A281" t="str">
        <v>HD88</v>
      </c>
      <c r="B281">
        <v>568960085.5555556</v>
      </c>
      <c r="C281">
        <v>0</v>
      </c>
    </row>
    <row r="282">
      <c r="A282" t="str">
        <v>VG36</v>
      </c>
      <c r="B282">
        <v>568960085.5555556</v>
      </c>
      <c r="C282">
        <v>0</v>
      </c>
    </row>
    <row r="283">
      <c r="A283" t="str">
        <v>Cát Vĩnh Xương - Đà Nẵng</v>
      </c>
      <c r="B283">
        <v>568960085.5555556</v>
      </c>
      <c r="C283">
        <v>0</v>
      </c>
    </row>
    <row r="284">
      <c r="A284" t="str">
        <v>HD89</v>
      </c>
      <c r="B284">
        <v>854280000</v>
      </c>
      <c r="C284">
        <v>0</v>
      </c>
    </row>
    <row r="285">
      <c r="A285" t="str">
        <v>VG09</v>
      </c>
      <c r="B285">
        <v>854280000</v>
      </c>
      <c r="C285">
        <v>0</v>
      </c>
    </row>
    <row r="286">
      <c r="A286" t="str">
        <v>Xỉ Sơn Dương - Cần Thơ</v>
      </c>
      <c r="B286">
        <v>854280000</v>
      </c>
      <c r="C286">
        <v>0</v>
      </c>
    </row>
    <row r="287">
      <c r="A287" t="str">
        <v>HD9</v>
      </c>
      <c r="B287">
        <v>872049900</v>
      </c>
      <c r="C287">
        <v>0</v>
      </c>
      <c r="D287">
        <v>372049900</v>
      </c>
    </row>
    <row r="288">
      <c r="A288" t="str">
        <v>VG36</v>
      </c>
      <c r="B288">
        <v>872049900</v>
      </c>
      <c r="C288">
        <v>0</v>
      </c>
      <c r="D288">
        <v>372049900</v>
      </c>
    </row>
    <row r="289">
      <c r="A289" t="str">
        <v>Clinker Hòn La - Hậu Giang</v>
      </c>
      <c r="B289">
        <v>872049900</v>
      </c>
      <c r="C289">
        <v>0</v>
      </c>
      <c r="D289">
        <v>372049900</v>
      </c>
    </row>
    <row r="290">
      <c r="A290" t="str">
        <v>HD90</v>
      </c>
      <c r="B290">
        <v>722700000</v>
      </c>
      <c r="C290">
        <v>0</v>
      </c>
    </row>
    <row r="291">
      <c r="A291" t="str">
        <v>VG05</v>
      </c>
      <c r="B291">
        <v>722700000</v>
      </c>
      <c r="C291">
        <v>0</v>
      </c>
    </row>
    <row r="292">
      <c r="A292" t="str">
        <v>Xỉ Sơn Dương - Hậu Giang</v>
      </c>
      <c r="B292">
        <v>722700000</v>
      </c>
      <c r="C292">
        <v>0</v>
      </c>
    </row>
    <row r="293">
      <c r="A293" t="str">
        <v>HD91</v>
      </c>
      <c r="B293">
        <v>640211481</v>
      </c>
      <c r="C293">
        <v>0</v>
      </c>
    </row>
    <row r="294">
      <c r="A294" t="str">
        <v>VG18</v>
      </c>
      <c r="B294">
        <v>640211481</v>
      </c>
      <c r="C294">
        <v>0</v>
      </c>
    </row>
    <row r="295">
      <c r="A295" t="str">
        <v>Than Quảng Ninh - Nghi Thiết</v>
      </c>
      <c r="B295">
        <v>640211481</v>
      </c>
      <c r="C295">
        <v>0</v>
      </c>
    </row>
    <row r="296">
      <c r="A296" t="str">
        <v>HD92</v>
      </c>
      <c r="B296">
        <v>587003750</v>
      </c>
      <c r="C296">
        <v>0</v>
      </c>
    </row>
    <row r="297">
      <c r="A297" t="str">
        <v>VG15</v>
      </c>
      <c r="B297">
        <v>587003750</v>
      </c>
      <c r="C297">
        <v>0</v>
      </c>
    </row>
    <row r="298">
      <c r="A298" t="str">
        <v>Cát Vĩnh Xương - Đà Nẵng</v>
      </c>
      <c r="B298">
        <v>587003750</v>
      </c>
      <c r="C298">
        <v>0</v>
      </c>
    </row>
    <row r="299">
      <c r="A299" t="str">
        <v>HD93</v>
      </c>
      <c r="B299">
        <v>655743200</v>
      </c>
      <c r="C299">
        <v>0</v>
      </c>
    </row>
    <row r="300">
      <c r="A300" t="str">
        <v>VG36</v>
      </c>
      <c r="B300">
        <v>655743200</v>
      </c>
      <c r="C300">
        <v>0</v>
      </c>
    </row>
    <row r="301">
      <c r="A301" t="str">
        <v>Clinker Chân Mây - Hậu Giang</v>
      </c>
      <c r="B301">
        <v>655743200</v>
      </c>
      <c r="C301">
        <v>0</v>
      </c>
    </row>
    <row r="302">
      <c r="A302" t="str">
        <v>HD94</v>
      </c>
      <c r="B302">
        <v>509259259</v>
      </c>
      <c r="C302">
        <v>0</v>
      </c>
    </row>
    <row r="303">
      <c r="A303" t="str">
        <v>VG09</v>
      </c>
      <c r="B303">
        <v>509259259</v>
      </c>
      <c r="C303">
        <v>0</v>
      </c>
    </row>
    <row r="304">
      <c r="A304" t="str">
        <v>Gỗ Long An - Cửa Lò</v>
      </c>
      <c r="B304">
        <v>509259259</v>
      </c>
      <c r="C304">
        <v>0</v>
      </c>
    </row>
    <row r="305">
      <c r="A305" t="str">
        <v>HD95</v>
      </c>
      <c r="B305">
        <v>486175000</v>
      </c>
      <c r="C305">
        <v>0</v>
      </c>
    </row>
    <row r="306">
      <c r="A306" t="str">
        <v>VG05</v>
      </c>
      <c r="B306">
        <v>486175000</v>
      </c>
      <c r="C306">
        <v>0</v>
      </c>
    </row>
    <row r="307">
      <c r="A307" t="str">
        <v>Cát Vĩnh Xương - Đà Nẵng</v>
      </c>
      <c r="B307">
        <v>486175000</v>
      </c>
      <c r="C307">
        <v>0</v>
      </c>
    </row>
    <row r="308">
      <c r="A308" t="str">
        <v>HĐ96</v>
      </c>
      <c r="B308">
        <v>819634210.0000001</v>
      </c>
      <c r="C308">
        <v>0</v>
      </c>
    </row>
    <row r="309">
      <c r="A309" t="str">
        <v>VG15</v>
      </c>
      <c r="B309">
        <v>819634210.0000001</v>
      </c>
      <c r="C309">
        <v>0</v>
      </c>
    </row>
    <row r="310">
      <c r="A310" t="str">
        <v>Xỉ Sơn Dương - HCM</v>
      </c>
      <c r="B310">
        <v>819634210.0000001</v>
      </c>
      <c r="C310">
        <v>0</v>
      </c>
    </row>
    <row r="311">
      <c r="A311" t="str">
        <v>HD97</v>
      </c>
      <c r="B311">
        <v>1439350200</v>
      </c>
      <c r="C311">
        <v>0</v>
      </c>
    </row>
    <row r="312">
      <c r="A312" t="str">
        <v>VG18</v>
      </c>
      <c r="B312">
        <v>1439350200</v>
      </c>
      <c r="C312">
        <v>0</v>
      </c>
    </row>
    <row r="313">
      <c r="A313" t="str">
        <v>Clinker Nghi Thiết - XM Thăng Long</v>
      </c>
      <c r="B313">
        <v>1439350200</v>
      </c>
      <c r="C313">
        <v>0</v>
      </c>
    </row>
    <row r="314">
      <c r="A314" t="str">
        <v>HD98</v>
      </c>
      <c r="B314">
        <v>540000000</v>
      </c>
      <c r="C314">
        <v>0</v>
      </c>
    </row>
    <row r="315">
      <c r="A315" t="str">
        <v>VG18</v>
      </c>
      <c r="B315">
        <v>540000000</v>
      </c>
      <c r="C315">
        <v>0</v>
      </c>
    </row>
    <row r="316">
      <c r="A316" t="str">
        <v>Than Gò Gia - Trà Vinh</v>
      </c>
      <c r="B316">
        <v>540000000</v>
      </c>
      <c r="C316">
        <v>0</v>
      </c>
    </row>
    <row r="317">
      <c r="A317" t="str">
        <v>HD99</v>
      </c>
      <c r="B317">
        <v>592274025</v>
      </c>
      <c r="C317">
        <v>0</v>
      </c>
    </row>
    <row r="318">
      <c r="A318" t="str">
        <v>VG18</v>
      </c>
      <c r="B318">
        <v>592274025</v>
      </c>
      <c r="C318">
        <v>0</v>
      </c>
    </row>
    <row r="319">
      <c r="A319" t="str">
        <v>Than Gò Gia - Trà Vinh</v>
      </c>
      <c r="B319">
        <v>592274025</v>
      </c>
      <c r="C319">
        <v>0</v>
      </c>
    </row>
    <row r="320">
      <c r="A320" t="str">
        <v>Hoàn chi phí Phao 50-50</v>
      </c>
    </row>
    <row r="321">
      <c r="A321" t="str">
        <v>(blank)</v>
      </c>
    </row>
    <row r="322">
      <c r="A322" t="str">
        <v>(blank)</v>
      </c>
    </row>
    <row r="323">
      <c r="A323" t="str">
        <v>Tiền Gửi giá</v>
      </c>
      <c r="B323">
        <v>-780008148.5555552</v>
      </c>
      <c r="C323">
        <v>-1349520098.5555553</v>
      </c>
    </row>
    <row r="324">
      <c r="A324" t="str">
        <v>(blank)</v>
      </c>
      <c r="B324">
        <v>-780008148.5555552</v>
      </c>
      <c r="C324">
        <v>-1349520098.5555553</v>
      </c>
    </row>
    <row r="325">
      <c r="A325" t="str">
        <v>(blank)</v>
      </c>
      <c r="B325">
        <v>-780008148.5555552</v>
      </c>
      <c r="C325">
        <v>-1349520098.5555553</v>
      </c>
    </row>
    <row r="326">
      <c r="A326" t="str">
        <v>(blank)</v>
      </c>
      <c r="B326">
        <v>365700000</v>
      </c>
      <c r="C326">
        <v>185700000</v>
      </c>
      <c r="D326">
        <v>180000000</v>
      </c>
    </row>
    <row r="327">
      <c r="A327" t="str">
        <v>VG05</v>
      </c>
      <c r="B327">
        <v>365700000</v>
      </c>
      <c r="C327">
        <v>185700000</v>
      </c>
      <c r="D327">
        <v>180000000</v>
      </c>
    </row>
    <row r="328">
      <c r="A328" t="str">
        <v>Than Quảng Ninh - Hòn La</v>
      </c>
      <c r="B328">
        <v>365700000</v>
      </c>
      <c r="C328">
        <v>185700000</v>
      </c>
      <c r="D328">
        <v>180000000</v>
      </c>
    </row>
    <row r="329">
      <c r="A329" t="str">
        <v>(blank)</v>
      </c>
      <c r="B329">
        <v>0</v>
      </c>
      <c r="C329">
        <v>0</v>
      </c>
    </row>
    <row r="330">
      <c r="A330" t="str">
        <v>(blank)</v>
      </c>
      <c r="B330">
        <v>0</v>
      </c>
      <c r="C330">
        <v>0</v>
      </c>
    </row>
    <row r="331">
      <c r="A331" t="str">
        <v>Grand Total</v>
      </c>
      <c r="B331">
        <v>162716466264</v>
      </c>
      <c r="C331">
        <v>37042450401.44444</v>
      </c>
      <c r="D331">
        <v>22240214120</v>
      </c>
      <c r="E331">
        <v>13519891480</v>
      </c>
    </row>
  </sheetData>
  <pageMargins left="0.7" right="0.7" top="0.75" bottom="0.75" header="0.3" footer="0.3"/>
  <ignoredErrors>
    <ignoredError numberStoredAsText="1" sqref="A3:E33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W1055"/>
  <sheetViews>
    <sheetView workbookViewId="0" rightToLeft="0"/>
  </sheetViews>
  <sheetData>
    <row r="1">
      <c r="A1" t="str">
        <v>THEO DÕI CÔNG NỢ</v>
      </c>
    </row>
    <row r="3">
      <c r="A3" t="str">
        <v>STT</v>
      </c>
      <c r="C3" t="str">
        <v>Theo dõi từ Q3/2025</v>
      </c>
      <c r="N3" t="str">
        <v>LUỸ KẾ ĐẾN HẾT THÁNG 9</v>
      </c>
      <c r="O3" t="str">
        <v>THÁNG 10</v>
      </c>
      <c r="P3" t="str">
        <v>THÁNG 11</v>
      </c>
      <c r="Q3" t="str">
        <v>THÁNG 12/2025</v>
      </c>
      <c r="R3" t="str">
        <v>THÁNG 1/2026</v>
      </c>
      <c r="S3" t="str">
        <v>THÁNG 2/2026</v>
      </c>
      <c r="T3" t="str">
        <v>THÁNG 3/2026</v>
      </c>
      <c r="U3" t="str">
        <v>THÁNG 4/2026</v>
      </c>
      <c r="V3" t="str">
        <v>THÁNG 5/2026</v>
      </c>
      <c r="W3" t="str">
        <v>Tổng cộng</v>
      </c>
    </row>
    <row r="6">
      <c r="C6" t="str">
        <v>Tiền mặt Hiện có (đầu tháng)</v>
      </c>
      <c r="F6" t="str">
        <v>Công nợ NA+HQ</v>
      </c>
      <c r="G6">
        <f>+G9+G73</f>
        <v>11992388900</v>
      </c>
      <c r="N6">
        <f>6784347624+185128497+716305998-977814-1500000-4167501+150000+8630606-10000000-79000-923600590</f>
        <v>6754237820</v>
      </c>
    </row>
    <row r="7">
      <c r="A7" t="str">
        <v>STT</v>
      </c>
      <c r="B7" t="str">
        <v>Ngày xuất hoá đơn</v>
      </c>
      <c r="C7" t="str">
        <v>HD</v>
      </c>
      <c r="D7" t="str">
        <v>Tàu</v>
      </c>
      <c r="E7" t="str">
        <v>Nội dung</v>
      </c>
      <c r="F7" t="str">
        <v>Thực tế</v>
      </c>
      <c r="G7" t="str">
        <v>Hoá đơn</v>
      </c>
      <c r="H7" t="str">
        <v>Khối lượng</v>
      </c>
      <c r="I7" t="str">
        <v>Đợn Giá</v>
      </c>
      <c r="J7" t="str">
        <v>Tiền gửi</v>
      </c>
      <c r="K7" t="str">
        <v>Column2</v>
      </c>
      <c r="L7" t="str">
        <v>Column3</v>
      </c>
      <c r="M7" t="str">
        <v>Column4</v>
      </c>
      <c r="N7" t="str">
        <v>Column5</v>
      </c>
      <c r="O7" t="str">
        <v>THÁNG 10</v>
      </c>
      <c r="P7" t="str">
        <v>THÁNG 11</v>
      </c>
      <c r="Q7" t="str">
        <v>THÁNG 12/2025</v>
      </c>
      <c r="R7" t="str">
        <v>THÁNG 1/2026</v>
      </c>
      <c r="S7" t="str">
        <v>THÁNG 2/2026</v>
      </c>
      <c r="T7" t="str">
        <v>THÁNG 3/2026</v>
      </c>
      <c r="U7" t="str">
        <v>THÁNG 4/2026</v>
      </c>
      <c r="V7" t="str">
        <v>THÁNG 5/2026</v>
      </c>
      <c r="W7" t="str">
        <v>Column14</v>
      </c>
    </row>
    <row r="8">
      <c r="C8" t="str">
        <v>Dòng tiền Thu vào</v>
      </c>
      <c r="F8">
        <f>+F9+F73+F109+F115</f>
        <v>42995020997</v>
      </c>
      <c r="G8">
        <f>+G9+G73+G106+G118+G109</f>
        <v>12646728900</v>
      </c>
    </row>
    <row r="9">
      <c r="A9">
        <v>1</v>
      </c>
      <c r="C9" t="str">
        <v>Công Nợ Công ty Ngọc Anh</v>
      </c>
      <c r="F9">
        <f>+SUM(F38:F71)</f>
        <v>31207958857</v>
      </c>
      <c r="G9" cm="1">
        <f t="array" ref="G9">SUMPRODUCT(IF(F10:F71&lt;G10:G71, F10:F71, G10:G71), --ISNUMBER(F10:F71), --ISNUMBER(G10:G71))</f>
        <v>7972060600</v>
      </c>
      <c r="H9">
        <f>+SUM(H10:H21)</f>
        <v>45749.29</v>
      </c>
      <c r="I9">
        <f>+SUM(I10:I21)</f>
        <v>761578000</v>
      </c>
      <c r="J9">
        <f>+SUM(J10:J21)</f>
        <v>115000</v>
      </c>
      <c r="K9">
        <f>+SUM(K10:K21)</f>
        <v>8469045220</v>
      </c>
      <c r="L9">
        <f>+SUM(L10:L21)</f>
        <v>75179536.66666663</v>
      </c>
      <c r="M9">
        <f>+SUM(M10:M21)</f>
        <v>342308100.33333313</v>
      </c>
      <c r="N9">
        <f>+SUM(N10:N72)</f>
        <v>399000000</v>
      </c>
      <c r="O9">
        <f>+SUM(O10:O72)</f>
        <v>3793489645</v>
      </c>
      <c r="P9">
        <f>+SUM(P10:P72)</f>
        <v>3776555575</v>
      </c>
      <c r="Q9">
        <f>+SUM(Q10:Q72)</f>
        <v>4818022691</v>
      </c>
      <c r="R9">
        <f>+SUM(R10:R72)</f>
        <v>5959894649</v>
      </c>
      <c r="S9">
        <f>+SUM(S10:S72)</f>
        <v>3370575297</v>
      </c>
      <c r="T9">
        <f>+SUM(T10:T72)</f>
        <v>6149184850</v>
      </c>
      <c r="U9">
        <f>+SUM(U10:U72)</f>
        <v>8422193860</v>
      </c>
      <c r="V9">
        <f>+SUM(V10:V72)</f>
        <v>5756269790</v>
      </c>
      <c r="W9">
        <f>+SUM(N9:V9)</f>
        <v>42445186357</v>
      </c>
    </row>
    <row r="10">
      <c r="C10" t="str">
        <v>HD58</v>
      </c>
      <c r="F10">
        <f>+H10*I10</f>
        <v>799147900</v>
      </c>
      <c r="G10">
        <f>+K10-SUM(N10:W10)</f>
        <v>0</v>
      </c>
      <c r="H10">
        <v>4700.87</v>
      </c>
      <c r="I10">
        <v>170000</v>
      </c>
      <c r="K10">
        <f>+(J10+I10)/1.08*H10*1.08</f>
        <v>799147899.9999999</v>
      </c>
      <c r="L10">
        <f>+(K10-F10)/1.08*13%</f>
        <v>-1.434926633481626e-8</v>
      </c>
      <c r="M10">
        <f>+(K10-F10)-(K10-F10)/1.08*13%</f>
        <v>-1.0486002321596499e-7</v>
      </c>
      <c r="N10">
        <v>399000000</v>
      </c>
      <c r="O10">
        <v>400147900</v>
      </c>
      <c r="W10" t="str">
        <v>-</v>
      </c>
    </row>
    <row r="11">
      <c r="C11" t="str">
        <v>HD60</v>
      </c>
      <c r="F11">
        <f>+H11*I11</f>
        <v>376556800</v>
      </c>
      <c r="G11">
        <f>+K11-SUM(N11:W11)</f>
        <v>0</v>
      </c>
      <c r="H11">
        <v>4706.96</v>
      </c>
      <c r="I11">
        <v>80000</v>
      </c>
      <c r="J11">
        <v>9000</v>
      </c>
      <c r="K11">
        <f>+(J11+I11)/1.08*H11*1.08</f>
        <v>418919440</v>
      </c>
      <c r="L11">
        <f>+(K11-F11)/1.08*12%</f>
        <v>4706959.999999999</v>
      </c>
      <c r="M11">
        <f>+(K11-F11)-(K11-F11)/1.08*12%</f>
        <v>37655680</v>
      </c>
      <c r="O11">
        <v>418919440</v>
      </c>
      <c r="W11" t="str">
        <v>-</v>
      </c>
    </row>
    <row r="12">
      <c r="C12" t="str">
        <v>HD62</v>
      </c>
      <c r="F12">
        <f>+H12*I12</f>
        <v>528244450.00000006</v>
      </c>
      <c r="G12">
        <f>+K12-SUM(N12:W12)</f>
        <v>0</v>
      </c>
      <c r="H12">
        <v>4593.43</v>
      </c>
      <c r="I12">
        <v>115000</v>
      </c>
      <c r="J12">
        <v>9000</v>
      </c>
      <c r="K12">
        <f>+(J12+I12)/1.08*H12*1.08</f>
        <v>569585320</v>
      </c>
      <c r="L12">
        <f>+(K12-F12)/1.08*12%</f>
        <v>4593429.999999993</v>
      </c>
      <c r="M12">
        <f>+(K12-F12)-(K12-F12)/1.08*12%</f>
        <v>36747439.99999995</v>
      </c>
      <c r="O12">
        <v>569585320</v>
      </c>
      <c r="W12" t="str">
        <v>-</v>
      </c>
    </row>
    <row r="13">
      <c r="C13" t="str">
        <v>HD64</v>
      </c>
      <c r="F13">
        <f>+H13*I13</f>
        <v>692584740</v>
      </c>
      <c r="G13">
        <f>+K13-SUM(N13:W13)</f>
        <v>0</v>
      </c>
      <c r="H13">
        <v>4003.38</v>
      </c>
      <c r="I13">
        <v>173000</v>
      </c>
      <c r="J13">
        <v>26000</v>
      </c>
      <c r="K13">
        <f>+(J13+I13)/1.08*H13*1.08</f>
        <v>796672620</v>
      </c>
      <c r="L13">
        <f>+(K13-F13)/1.08*17%</f>
        <v>16384203.333333332</v>
      </c>
      <c r="M13">
        <f>+(K13-F13)-(K13-F13)/1.08*17%</f>
        <v>87703676.66666667</v>
      </c>
      <c r="O13">
        <f>607347340+189325280</f>
        <v>796672620</v>
      </c>
      <c r="W13" t="str">
        <v>-</v>
      </c>
    </row>
    <row r="14">
      <c r="C14" t="str">
        <v>HD65</v>
      </c>
      <c r="F14">
        <f>+H14*I14</f>
        <v>809164300</v>
      </c>
      <c r="G14">
        <f>+K14-SUM(N14:W14)</f>
        <v>0</v>
      </c>
      <c r="H14">
        <v>4759.79</v>
      </c>
      <c r="I14">
        <v>170000</v>
      </c>
      <c r="K14">
        <f>+(J14+I14)/1.08*H14*1.08</f>
        <v>809164300</v>
      </c>
      <c r="L14">
        <f>+(K14-F14)/1.08*13%</f>
        <v>0</v>
      </c>
      <c r="M14">
        <f>+(K14-F14)-(K14-F14)/1.08*13%</f>
        <v>0</v>
      </c>
      <c r="O14">
        <f>610164365+198999935</f>
        <v>809164300</v>
      </c>
      <c r="W14" t="str">
        <v>-</v>
      </c>
    </row>
    <row r="15">
      <c r="C15" t="str">
        <v>HD66</v>
      </c>
      <c r="F15">
        <f>+H15*I15</f>
        <v>300000000</v>
      </c>
      <c r="G15">
        <f>+K15-SUM(N15:W15)</f>
        <v>0</v>
      </c>
      <c r="H15">
        <v>1</v>
      </c>
      <c r="I15">
        <v>300000000</v>
      </c>
      <c r="K15">
        <f>+(J15+I15)/1.08*H15*1.08</f>
        <v>299999999.99999994</v>
      </c>
      <c r="L15">
        <v>0</v>
      </c>
      <c r="M15">
        <v>-92592593.00000006</v>
      </c>
      <c r="O15">
        <v>300000000</v>
      </c>
      <c r="W15" t="str">
        <v>-</v>
      </c>
    </row>
    <row r="16">
      <c r="C16" t="str">
        <v>HD67</v>
      </c>
      <c r="F16">
        <f>+H16*I16</f>
        <v>854118000.0000001</v>
      </c>
      <c r="G16">
        <f>+K16-SUM(N16:W16)</f>
        <v>0</v>
      </c>
      <c r="H16">
        <v>4745.1</v>
      </c>
      <c r="I16">
        <v>180000</v>
      </c>
      <c r="J16">
        <v>19000</v>
      </c>
      <c r="K16">
        <f>+(J16+I16)/1.08*H16*1.08</f>
        <v>944274900</v>
      </c>
      <c r="L16">
        <f>+(K16-F16)/1.08*17%</f>
        <v>14191363.888888871</v>
      </c>
      <c r="M16">
        <f>+(K16-F16)-(K16-F16)/1.08*17%</f>
        <v>75965536.11111102</v>
      </c>
      <c r="O16">
        <v>499000065</v>
      </c>
      <c r="P16">
        <v>445274835</v>
      </c>
      <c r="W16" t="str">
        <v>-</v>
      </c>
    </row>
    <row r="17">
      <c r="C17" t="str">
        <v>HD69</v>
      </c>
      <c r="F17">
        <f>+H17*I17</f>
        <v>720964800</v>
      </c>
      <c r="G17">
        <f>+K17-SUM(N17:W17)</f>
        <v>0</v>
      </c>
      <c r="H17">
        <v>4005.36</v>
      </c>
      <c r="I17">
        <v>180000</v>
      </c>
      <c r="J17">
        <v>19000</v>
      </c>
      <c r="K17">
        <f>+(J17+I17)/1.08*H17*1.08</f>
        <v>797066640</v>
      </c>
      <c r="L17">
        <f>+(K17-F17)/1.08*17%</f>
        <v>11978993.333333332</v>
      </c>
      <c r="M17">
        <f>+(K17-F17)-(K17-F17)/1.08*17%</f>
        <v>64122846.66666667</v>
      </c>
      <c r="P17">
        <f>500000000+297066640</f>
        <v>797066640</v>
      </c>
      <c r="W17" t="str">
        <v>-</v>
      </c>
    </row>
    <row r="18">
      <c r="C18" t="str">
        <v>HD71</v>
      </c>
      <c r="F18">
        <f>+H18*I18</f>
        <v>714945000</v>
      </c>
      <c r="G18">
        <f>+K18-SUM(N18:W18)</f>
        <v>0</v>
      </c>
      <c r="H18">
        <v>4766.3</v>
      </c>
      <c r="I18">
        <v>150000</v>
      </c>
      <c r="J18">
        <v>14000</v>
      </c>
      <c r="K18">
        <f>+(J18+I18)/1.08*H18*1.08</f>
        <v>781673200.0000001</v>
      </c>
      <c r="L18">
        <f>+(K18-F18)/1.08*15%</f>
        <v>9267805.55555557</v>
      </c>
      <c r="M18">
        <f>+(K18-F18)-(K18-F18)/1.08*15%</f>
        <v>57460394.44444455</v>
      </c>
      <c r="P18">
        <f>499000000+282673200</f>
        <v>781673200</v>
      </c>
      <c r="W18" t="str">
        <v>-</v>
      </c>
    </row>
    <row r="19">
      <c r="C19" t="str">
        <v>HD7273</v>
      </c>
      <c r="F19">
        <f>+H19*I19</f>
        <v>460000000</v>
      </c>
      <c r="G19">
        <f>+K19-SUM(N19:W19)</f>
        <v>0</v>
      </c>
      <c r="H19">
        <v>1</v>
      </c>
      <c r="I19">
        <v>460000000</v>
      </c>
      <c r="K19">
        <f>+(J19+I19)/1.08*H19*1.08</f>
        <v>460000000</v>
      </c>
      <c r="L19">
        <f>+(K19-F19)/1.08*15%</f>
        <v>0</v>
      </c>
      <c r="M19">
        <f>+(K19-F19)-(K19-F19)/1.08*15%</f>
        <v>0</v>
      </c>
      <c r="P19">
        <v>460000000</v>
      </c>
      <c r="W19" t="str">
        <v>-</v>
      </c>
    </row>
    <row r="20">
      <c r="C20" t="str">
        <v>HD74</v>
      </c>
      <c r="F20">
        <f>+H20*I20</f>
        <v>893019000.0000001</v>
      </c>
      <c r="G20">
        <f>+K20-SUM(N20:W20)</f>
        <v>0</v>
      </c>
      <c r="H20">
        <v>4700.1</v>
      </c>
      <c r="I20">
        <v>190000</v>
      </c>
      <c r="J20">
        <v>19000</v>
      </c>
      <c r="K20">
        <f>+(J20+I20)/1.08*H20*1.08</f>
        <v>982320900.0000001</v>
      </c>
      <c r="L20">
        <f>+(K20-F20)/1.08*17%</f>
        <v>14056780.555555554</v>
      </c>
      <c r="M20">
        <f>+(K20-F20)-(K20-F20)/1.08*17%</f>
        <v>75245119.44444445</v>
      </c>
      <c r="P20">
        <v>982320900</v>
      </c>
      <c r="W20" t="str">
        <v>-</v>
      </c>
    </row>
    <row r="21">
      <c r="C21" t="str">
        <v>HD75</v>
      </c>
      <c r="F21">
        <f>+H21*I21</f>
        <v>810220000</v>
      </c>
      <c r="G21">
        <f>+K21-SUM(N21:W21)</f>
        <v>0</v>
      </c>
      <c r="H21">
        <v>4766</v>
      </c>
      <c r="I21">
        <v>170000</v>
      </c>
      <c r="K21">
        <f>+(J21+I21)/1.08*H21*1.08</f>
        <v>810220000</v>
      </c>
      <c r="L21">
        <f>+(K21-F21)/1.08*13%</f>
        <v>0</v>
      </c>
      <c r="M21">
        <f>+(K21-F21)-(K21-F21)/1.08*13%</f>
        <v>0</v>
      </c>
      <c r="P21">
        <v>810220000</v>
      </c>
      <c r="W21" t="str">
        <v>-</v>
      </c>
    </row>
    <row r="22">
      <c r="C22" t="str">
        <v>HD77</v>
      </c>
      <c r="D22" t="str">
        <v>VG05</v>
      </c>
      <c r="E22" t="str">
        <v>Đá Hòn La - Dung Quất</v>
      </c>
      <c r="F22">
        <f>+H22*I22</f>
        <v>310326480</v>
      </c>
      <c r="G22">
        <f>+K22-SUM(N22:W22)</f>
        <v>0</v>
      </c>
      <c r="H22">
        <v>3879.081</v>
      </c>
      <c r="I22">
        <v>80000</v>
      </c>
      <c r="J22">
        <v>12000</v>
      </c>
      <c r="K22">
        <f>+(J22+I22)/1.08*H22*1.08</f>
        <v>356875452</v>
      </c>
      <c r="L22">
        <f>+(K22-F22)/1.08*15%</f>
        <v>6465135</v>
      </c>
      <c r="M22">
        <f>+(K22-F22)-(K22-F22)/1.08*15%</f>
        <v>40083837</v>
      </c>
      <c r="Q22">
        <v>356875452</v>
      </c>
      <c r="W22" t="str">
        <v>-</v>
      </c>
    </row>
    <row r="23">
      <c r="C23" t="str">
        <v>HD79</v>
      </c>
      <c r="D23" t="str">
        <v>VG09</v>
      </c>
      <c r="E23" t="str">
        <v>Xỉ mịn Dung Quất - HCM</v>
      </c>
      <c r="F23">
        <f>+H23*I23</f>
        <v>619790160</v>
      </c>
      <c r="G23">
        <f>+K23-SUM(N23:W23)</f>
        <v>0</v>
      </c>
      <c r="H23">
        <v>4695.38</v>
      </c>
      <c r="I23">
        <v>132000</v>
      </c>
      <c r="J23">
        <v>9000</v>
      </c>
      <c r="K23">
        <f>+(J23+I23)/1.08*H23*1.08</f>
        <v>662048580</v>
      </c>
      <c r="L23">
        <f>+(K23-F23)/1.08*13%</f>
        <v>5086661.666666667</v>
      </c>
      <c r="M23">
        <f>+(K23-F23)-(K23-F23)/1.08*13%</f>
        <v>37171758.333333336</v>
      </c>
      <c r="Q23">
        <v>662048580</v>
      </c>
      <c r="W23" t="str">
        <v>-</v>
      </c>
    </row>
    <row r="24">
      <c r="C24" t="str">
        <v>HD80</v>
      </c>
      <c r="D24" t="str">
        <v>VG15</v>
      </c>
      <c r="E24" t="str">
        <v>Clinker Chân Mây - Hậu Giang</v>
      </c>
      <c r="F24">
        <f>+H24*I24</f>
        <v>660346400</v>
      </c>
      <c r="G24">
        <f>+K24-SUM(N24:W24)</f>
        <v>0</v>
      </c>
      <c r="H24">
        <v>4716.76</v>
      </c>
      <c r="I24">
        <v>140000</v>
      </c>
      <c r="J24">
        <v>7000</v>
      </c>
      <c r="K24">
        <f>+(J24+I24)/1.08*H24*1.08</f>
        <v>693363720</v>
      </c>
      <c r="L24">
        <f>+(K24-F24)/1.08*13%</f>
        <v>3974307.037037037</v>
      </c>
      <c r="M24">
        <f>+(K24-F24)-(K24-F24)/1.08*13%</f>
        <v>29043012.962962963</v>
      </c>
      <c r="Q24">
        <v>693363720</v>
      </c>
      <c r="W24" t="str">
        <v>-</v>
      </c>
    </row>
    <row r="25">
      <c r="C25" t="str">
        <v>HD83</v>
      </c>
      <c r="D25" t="str">
        <v>VG36</v>
      </c>
      <c r="E25" t="str">
        <v>Clinker Chân Mây - Hậu Giang</v>
      </c>
      <c r="F25">
        <f>+H25*I25</f>
        <v>669674600</v>
      </c>
      <c r="G25">
        <f>+K25-SUM(N25:W25)</f>
        <v>0</v>
      </c>
      <c r="H25">
        <v>4783.39</v>
      </c>
      <c r="I25">
        <v>140000</v>
      </c>
      <c r="J25">
        <v>7000</v>
      </c>
      <c r="K25">
        <f>+(J25+I25)/1.08*H25*1.08</f>
        <v>703158330.0000001</v>
      </c>
      <c r="L25">
        <f>+(K25-F25)/1.08*13%</f>
        <v>4030448.981481496</v>
      </c>
      <c r="M25">
        <f>+(K25-F25)-(K25-F25)/1.08*13%</f>
        <v>29453281.018518623</v>
      </c>
      <c r="Q25">
        <v>703158330</v>
      </c>
      <c r="W25" t="str">
        <v>-</v>
      </c>
    </row>
    <row r="26">
      <c r="C26" t="str">
        <v>HD86</v>
      </c>
      <c r="D26" t="str">
        <v>VG05</v>
      </c>
      <c r="E26" t="str">
        <v>Than Đồng Nai - Hòn La</v>
      </c>
      <c r="F26">
        <f>+H26*I26</f>
        <v>399789000</v>
      </c>
      <c r="G26">
        <f>+K26-SUM(N26:W26)</f>
        <v>0</v>
      </c>
      <c r="H26">
        <v>3701.75</v>
      </c>
      <c r="I26">
        <v>108000</v>
      </c>
      <c r="J26">
        <v>6000</v>
      </c>
      <c r="K26">
        <f>+(J26+I26)/1.08*H26*1.08</f>
        <v>421999500</v>
      </c>
      <c r="L26">
        <f>+(K26-F26)/1.08*13%</f>
        <v>2673486.111111111</v>
      </c>
      <c r="M26">
        <f>+(K26-F26)-(K26-F26)/1.08*13%</f>
        <v>19537013.888888888</v>
      </c>
      <c r="Q26">
        <f>296841670+125157830</f>
        <v>421999500</v>
      </c>
      <c r="W26" t="str">
        <v>-</v>
      </c>
    </row>
    <row r="27">
      <c r="C27" t="str">
        <v>HD87</v>
      </c>
      <c r="D27" t="str">
        <v>VG15</v>
      </c>
      <c r="E27" t="str">
        <v>Clinker Chân Mây - Hậu Giang</v>
      </c>
      <c r="F27">
        <f>+H27*I27</f>
        <v>664333600</v>
      </c>
      <c r="G27">
        <f>+K27-SUM(N27:W27)</f>
        <v>0</v>
      </c>
      <c r="H27">
        <v>4745.24</v>
      </c>
      <c r="I27">
        <v>140000</v>
      </c>
      <c r="J27">
        <v>7000</v>
      </c>
      <c r="K27">
        <f>+(J27+I27)/1.08*H27*1.08</f>
        <v>697550280</v>
      </c>
      <c r="L27">
        <f>+(K27-F27)/1.08*13%</f>
        <v>3998304.0740740737</v>
      </c>
      <c r="M27">
        <f>+(K27-F27)-(K27-F27)/1.08*13%</f>
        <v>29218375.925925925</v>
      </c>
      <c r="Q27">
        <f>174842170+522708110</f>
        <v>697550280</v>
      </c>
      <c r="W27" t="str">
        <v>-</v>
      </c>
    </row>
    <row r="28">
      <c r="C28" t="str">
        <v>HD89</v>
      </c>
      <c r="D28" t="str">
        <v>VG09</v>
      </c>
      <c r="E28" t="str">
        <v>Xỉ Sơn Dương - Cần Thơ</v>
      </c>
      <c r="F28">
        <f>+H28*I28</f>
        <v>854280000</v>
      </c>
      <c r="G28">
        <f>+K28-SUM(N28:W28)</f>
        <v>0</v>
      </c>
      <c r="H28">
        <v>4746</v>
      </c>
      <c r="I28">
        <v>180000</v>
      </c>
      <c r="J28">
        <v>29000</v>
      </c>
      <c r="K28">
        <f>+(J28+I28)/1.08*H28*1.08</f>
        <v>991914000</v>
      </c>
      <c r="L28">
        <f>+(K28-F28)/1.08*20%</f>
        <v>25487777.777777776</v>
      </c>
      <c r="M28">
        <f>+(K28-F28)-(K28-F28)/1.08*20%</f>
        <v>112146222.22222222</v>
      </c>
      <c r="Q28">
        <f>457291890+534622110</f>
        <v>991914000</v>
      </c>
    </row>
    <row r="29">
      <c r="C29" t="str">
        <v>HD90</v>
      </c>
      <c r="D29" t="str">
        <v>VG05</v>
      </c>
      <c r="E29" t="str">
        <v>Xỉ Sơn Dương - Hậu Giang</v>
      </c>
      <c r="F29">
        <f>+H29*I29</f>
        <v>722700000</v>
      </c>
      <c r="G29">
        <f>+K29-SUM(N29:W29)</f>
        <v>0</v>
      </c>
      <c r="H29">
        <v>4015</v>
      </c>
      <c r="I29">
        <v>180000</v>
      </c>
      <c r="J29">
        <v>9000</v>
      </c>
      <c r="K29">
        <f>+(J29+I29)/1.08*H29*1.08</f>
        <v>758835000</v>
      </c>
      <c r="L29">
        <f>+(K29-F29)/1.08*13%</f>
        <v>4349583.333333333</v>
      </c>
      <c r="M29">
        <f>+(K29-F29)-(K29-F29)/1.08*13%</f>
        <v>31785416.666666668</v>
      </c>
      <c r="Q29">
        <v>678152089</v>
      </c>
      <c r="S29">
        <v>80682911</v>
      </c>
    </row>
    <row r="30">
      <c r="C30" t="str">
        <v>HD93</v>
      </c>
      <c r="D30" t="str">
        <v>VG36</v>
      </c>
      <c r="E30" t="str">
        <v>Clinker Chân Mây - Hậu Giang</v>
      </c>
      <c r="F30">
        <f>+H30*I30</f>
        <v>655743200</v>
      </c>
      <c r="G30">
        <f>+K30-SUM(N30:W30)</f>
        <v>0</v>
      </c>
      <c r="H30">
        <v>4683.88</v>
      </c>
      <c r="I30">
        <v>140000</v>
      </c>
      <c r="J30">
        <v>14000</v>
      </c>
      <c r="K30">
        <f>+(J30+I30)/1.08*H30*1.08</f>
        <v>721317520</v>
      </c>
      <c r="L30">
        <f>+(K30-F30)/1.08*15%</f>
        <v>9107544.444444444</v>
      </c>
      <c r="M30">
        <f>+(K30-F30)-(K30-F30)/1.08*15%</f>
        <v>56466775.55555555</v>
      </c>
      <c r="R30">
        <v>721317520</v>
      </c>
    </row>
    <row r="31">
      <c r="C31" t="str">
        <v>HD94</v>
      </c>
      <c r="D31" t="str">
        <v>VG09</v>
      </c>
      <c r="E31" t="str">
        <v>Gỗ Long An - Cửa Lò</v>
      </c>
      <c r="F31">
        <f>+H31*I31</f>
        <v>509259259</v>
      </c>
      <c r="G31">
        <f>+K31-SUM(N31:W31)</f>
        <v>0</v>
      </c>
      <c r="H31">
        <v>1</v>
      </c>
      <c r="I31">
        <v>509259259</v>
      </c>
      <c r="K31">
        <v>500000000</v>
      </c>
      <c r="M31">
        <f>+K31-I31</f>
        <v>-9259259</v>
      </c>
      <c r="R31">
        <v>500000000</v>
      </c>
    </row>
    <row r="32">
      <c r="C32" t="str">
        <v>HĐ96</v>
      </c>
      <c r="D32" t="str">
        <v>VG15</v>
      </c>
      <c r="E32" t="str">
        <v>Xỉ Sơn Dương - HCM</v>
      </c>
      <c r="F32">
        <f>+H32*I32</f>
        <v>819634210.0000001</v>
      </c>
      <c r="G32">
        <f>+K32-SUM(N32:W32)</f>
        <v>0</v>
      </c>
      <c r="H32">
        <v>4737.77</v>
      </c>
      <c r="I32">
        <v>173000</v>
      </c>
      <c r="J32">
        <v>6000</v>
      </c>
      <c r="K32">
        <f>+(J32+I32)/1.08*H32*1.08</f>
        <v>848060830</v>
      </c>
      <c r="L32">
        <f>+(K32-F32)/1.08*13%</f>
        <v>3421722.777777763</v>
      </c>
      <c r="M32">
        <f>+(K32-F32)-(K32-F32)/1.08*13%</f>
        <v>25004897.22222212</v>
      </c>
      <c r="R32">
        <v>848060830</v>
      </c>
    </row>
    <row r="33">
      <c r="C33" t="str">
        <v>HD97</v>
      </c>
      <c r="D33" t="str">
        <v>VG18</v>
      </c>
      <c r="E33" t="str">
        <v>Clinker Nghi Thiết - XM Thăng Long</v>
      </c>
      <c r="F33">
        <f>+H33*I33</f>
        <v>1439350200</v>
      </c>
      <c r="G33">
        <f>+K33-SUM(N33:W33)</f>
        <v>0</v>
      </c>
      <c r="H33">
        <v>7996.39</v>
      </c>
      <c r="I33">
        <v>180000</v>
      </c>
      <c r="J33">
        <v>14000</v>
      </c>
      <c r="K33">
        <f>+(J33+I33)/1.08*H33*1.08</f>
        <v>1551299660</v>
      </c>
      <c r="L33">
        <f>+(K33-F33)/1.08*15%</f>
        <v>15548536.11111111</v>
      </c>
      <c r="M33">
        <f>+(K33-F33)-(K33-F33)/1.08*15%</f>
        <v>96400923.8888889</v>
      </c>
      <c r="R33">
        <f>80682911+567256259+490000000+413360490</f>
        <v>1551299660</v>
      </c>
    </row>
    <row r="34">
      <c r="C34" t="str">
        <v>HD98</v>
      </c>
      <c r="D34" t="str">
        <v>VG18</v>
      </c>
      <c r="E34" t="str">
        <v>Than Gò Gia - Trà Vinh</v>
      </c>
      <c r="F34">
        <f>+H34*I34</f>
        <v>540000000</v>
      </c>
      <c r="G34">
        <f>+K34-SUM(N34:W34)</f>
        <v>0</v>
      </c>
      <c r="H34">
        <v>1</v>
      </c>
      <c r="I34">
        <v>540000000</v>
      </c>
      <c r="J34">
        <v>55000000</v>
      </c>
      <c r="K34">
        <f>+(J34+I34)/1.08*H34*1.08</f>
        <v>595000000</v>
      </c>
      <c r="L34">
        <f>+(K34-F34)/1.08*15%</f>
        <v>7638888.888888888</v>
      </c>
      <c r="M34">
        <f>+(K34-F34)-(K34-F34)/1.08*15%</f>
        <v>47361111.11111111</v>
      </c>
      <c r="R34">
        <v>595000000</v>
      </c>
    </row>
    <row r="35">
      <c r="C35" t="str">
        <v>HD99</v>
      </c>
      <c r="D35" t="str">
        <v>VG18</v>
      </c>
      <c r="E35" t="str">
        <v>Than Gò Gia - Trà Vinh</v>
      </c>
      <c r="F35">
        <f>+H35*I35</f>
        <v>592274025</v>
      </c>
      <c r="G35">
        <f>+K35-SUM(N35:W35)</f>
        <v>0</v>
      </c>
      <c r="H35">
        <v>6267.45</v>
      </c>
      <c r="I35">
        <v>94500</v>
      </c>
      <c r="K35">
        <f>+(J35+I35)/1.08*H35*1.08</f>
        <v>592274025</v>
      </c>
      <c r="L35">
        <f>+(K35-F35)/1.08*13%</f>
        <v>0</v>
      </c>
      <c r="M35">
        <f>+(K35-F35)-(K35-F35)/1.08*13%</f>
        <v>0</v>
      </c>
      <c r="R35">
        <v>592274025</v>
      </c>
    </row>
    <row r="36">
      <c r="C36" t="str">
        <v>HD103</v>
      </c>
      <c r="D36" t="str">
        <v>VG09</v>
      </c>
      <c r="E36" t="str">
        <v>Xỉ Sơn Dương - Hậu Giang</v>
      </c>
      <c r="F36">
        <f>+H36*I36</f>
        <v>867969000</v>
      </c>
      <c r="G36">
        <f>+K36-SUM(N36:W36)</f>
        <v>0</v>
      </c>
      <c r="H36">
        <v>4743</v>
      </c>
      <c r="I36">
        <v>183000</v>
      </c>
      <c r="J36">
        <v>11000</v>
      </c>
      <c r="K36">
        <f>+(J36+I36)/1.08*H36*1.08</f>
        <v>920142000</v>
      </c>
      <c r="L36">
        <f>+(K36-F36)/1.08*15%</f>
        <v>7246249.999999999</v>
      </c>
      <c r="M36">
        <f>+(K36-F36)-(K36-F36)/1.08*15%</f>
        <v>44926750</v>
      </c>
      <c r="R36">
        <f>678166035+241975965</f>
        <v>920142000</v>
      </c>
    </row>
    <row r="37">
      <c r="C37" t="str">
        <v>HD104</v>
      </c>
      <c r="D37" t="str">
        <v>VG36</v>
      </c>
      <c r="E37" t="str">
        <v>Quặng Sắt Vĩnh Xương - Hải Phòng</v>
      </c>
      <c r="F37">
        <f>+H37*I37</f>
        <v>651117600</v>
      </c>
      <c r="G37">
        <f>+K37-SUM(N37:W37)</f>
        <v>0</v>
      </c>
      <c r="H37">
        <v>4650.84</v>
      </c>
      <c r="I37">
        <v>140000</v>
      </c>
      <c r="K37">
        <f>+(J37+I37)/1.08*H37*1.08</f>
        <v>651117600</v>
      </c>
      <c r="L37">
        <f>+(K37-F37)/1.08*15%</f>
        <v>0</v>
      </c>
      <c r="M37">
        <f>+(K37-F37)-(K37-F37)/1.08*15%</f>
        <v>0</v>
      </c>
      <c r="R37">
        <v>231800614</v>
      </c>
      <c r="S37">
        <v>419316986</v>
      </c>
    </row>
    <row r="38">
      <c r="C38" t="str">
        <v>HD1</v>
      </c>
      <c r="D38" t="str">
        <v>VG36</v>
      </c>
      <c r="E38" t="str">
        <v>Xỉ Hà Tĩnh - HCM</v>
      </c>
      <c r="F38">
        <f>+H38*I38</f>
        <v>825037000</v>
      </c>
      <c r="G38">
        <f>+K38-SUM(N38:W38)</f>
        <v>0</v>
      </c>
      <c r="H38">
        <v>4769</v>
      </c>
      <c r="I38">
        <v>173000</v>
      </c>
      <c r="J38">
        <v>10000</v>
      </c>
      <c r="K38">
        <f>+(J38+I38)/1.08*H38*1.08</f>
        <v>872727000.0000001</v>
      </c>
      <c r="L38">
        <f>+(K38-F38)/1.08*28%</f>
        <v>12364074.074074104</v>
      </c>
      <c r="M38">
        <f>+(K38-F38)-(K38-F38)/1.08*28%</f>
        <v>35325925.925926015</v>
      </c>
      <c r="S38">
        <v>872727000</v>
      </c>
    </row>
    <row r="39">
      <c r="C39" t="str">
        <v>HD3</v>
      </c>
      <c r="D39" t="str">
        <v>VG15</v>
      </c>
      <c r="E39" t="str">
        <v>Xỉ Sơn Dương - Hậu Giang</v>
      </c>
      <c r="F39">
        <f>+H39*I39</f>
        <v>880962000</v>
      </c>
      <c r="G39">
        <f>+K39-SUM(N39:W39)</f>
        <v>0</v>
      </c>
      <c r="H39">
        <v>4814</v>
      </c>
      <c r="I39">
        <v>183000</v>
      </c>
      <c r="J39">
        <v>10000</v>
      </c>
      <c r="K39">
        <f>+(J39+I39)/1.08*H39*1.08</f>
        <v>929101999.9999999</v>
      </c>
      <c r="L39">
        <f>+(K39-F39)/1.08*28%</f>
        <v>12480740.74074071</v>
      </c>
      <c r="M39">
        <f>+(K39-F39)-(K39-F39)/1.08*28%</f>
        <v>35659259.25925917</v>
      </c>
      <c r="S39">
        <f>677956001+251145999</f>
        <v>929102000</v>
      </c>
    </row>
    <row r="40">
      <c r="C40" t="str">
        <v>HD7</v>
      </c>
      <c r="D40" t="str">
        <v>VG18</v>
      </c>
      <c r="E40" t="str">
        <v>Tro ẩm Vĩnh Tân - Nghi Sơn</v>
      </c>
      <c r="F40">
        <f>+H40*I40</f>
        <v>695643200</v>
      </c>
      <c r="G40">
        <f>+K40-SUM(N40:W40)</f>
        <v>0</v>
      </c>
      <c r="H40">
        <v>7322.56</v>
      </c>
      <c r="I40">
        <v>95000</v>
      </c>
      <c r="J40">
        <v>0</v>
      </c>
      <c r="K40">
        <f>+(J40+I40)/1.08*H40*1.08</f>
        <v>695643200.0000001</v>
      </c>
      <c r="L40">
        <f>+(K40-F40)/1.08*28%</f>
        <v>3.09061121057581e-8</v>
      </c>
      <c r="M40">
        <f>+(K40-F40)-(K40-F40)/1.08*28%</f>
        <v>8.830317744502314e-8</v>
      </c>
      <c r="S40">
        <v>695643200</v>
      </c>
    </row>
    <row r="41">
      <c r="C41" t="str">
        <v>HD10</v>
      </c>
      <c r="D41" t="str">
        <v>VG09</v>
      </c>
      <c r="E41" t="str">
        <v>Xỉ Sơn Dương - HCM</v>
      </c>
      <c r="F41">
        <f>+H41*I41</f>
        <v>845150400</v>
      </c>
      <c r="G41">
        <f>+K41-SUM(N41:W41)</f>
        <v>0</v>
      </c>
      <c r="H41">
        <v>4695.28</v>
      </c>
      <c r="I41">
        <v>180000</v>
      </c>
      <c r="J41">
        <v>10000</v>
      </c>
      <c r="K41">
        <f>+(J41+I41)/1.08*H41*1.08</f>
        <v>892103200</v>
      </c>
      <c r="L41">
        <f>+(K41-F41)/1.08*28%</f>
        <v>12172948.14814815</v>
      </c>
      <c r="M41">
        <f>+(K41-F41)-(K41-F41)/1.08*28%</f>
        <v>34779851.85185185</v>
      </c>
      <c r="S41">
        <v>873103200</v>
      </c>
      <c r="T41">
        <v>19000000</v>
      </c>
    </row>
    <row r="42">
      <c r="C42" t="str">
        <v>HD12</v>
      </c>
      <c r="D42" t="str">
        <v>VG15</v>
      </c>
      <c r="E42" t="str">
        <v>Xỉ Sơn Dương - Hậu Giang</v>
      </c>
      <c r="F42">
        <f>+H42*I42</f>
        <v>928330000</v>
      </c>
      <c r="G42">
        <f>+K42-SUM(N42:W42)</f>
        <v>0</v>
      </c>
      <c r="H42">
        <v>4810</v>
      </c>
      <c r="I42">
        <v>193000</v>
      </c>
      <c r="J42">
        <v>10000</v>
      </c>
      <c r="K42">
        <f>+(J42+I42)/1.08*H42*1.08</f>
        <v>976430000</v>
      </c>
      <c r="L42">
        <f>+(K42-F42)/1.08*28%</f>
        <v>12470370.370370371</v>
      </c>
      <c r="M42">
        <f>+(K42-F42)-(K42-F42)/1.08*28%</f>
        <v>35629629.62962963</v>
      </c>
      <c r="T42">
        <f>486430000+490000000</f>
        <v>976430000</v>
      </c>
    </row>
    <row r="43">
      <c r="C43" t="str">
        <v>HD13</v>
      </c>
      <c r="D43" t="str">
        <v>VG18</v>
      </c>
      <c r="E43" t="str">
        <v>Clinker Nghi Sơn - HCM</v>
      </c>
      <c r="F43">
        <f>+H43*I43</f>
        <v>1463258850</v>
      </c>
      <c r="G43">
        <f>+K43-SUM(N43:W43)</f>
        <v>0</v>
      </c>
      <c r="H43">
        <v>7995.95</v>
      </c>
      <c r="I43">
        <v>183000</v>
      </c>
      <c r="J43">
        <v>10000</v>
      </c>
      <c r="K43">
        <f>+(J43+I43)/1.08*H43*1.08</f>
        <v>1543218349.9999998</v>
      </c>
      <c r="L43">
        <f>+(K43-F43)/1.08*28%</f>
        <v>20730240.74074068</v>
      </c>
      <c r="M43">
        <f>+(K43-F43)-(K43-F43)/1.08*28%</f>
        <v>59229259.25925908</v>
      </c>
      <c r="T43">
        <f>499000000+300000000+400000000+344218350</f>
        <v>1543218350</v>
      </c>
    </row>
    <row r="44">
      <c r="C44" t="str">
        <v>HD14</v>
      </c>
      <c r="D44" t="str">
        <v>VG05</v>
      </c>
      <c r="E44" t="str">
        <v>Xỉ Sơn Dương - Hậu Giang</v>
      </c>
      <c r="F44">
        <f>+H44*I44</f>
        <v>893784000</v>
      </c>
      <c r="G44">
        <f>+K44-SUM(N44:W44)</f>
        <v>0</v>
      </c>
      <c r="H44">
        <v>4008</v>
      </c>
      <c r="I44">
        <f>193000+30000</f>
        <v>223000</v>
      </c>
      <c r="J44">
        <v>8000</v>
      </c>
      <c r="K44">
        <f>+(J44+I44)/1.08*H44*1.08</f>
        <v>925848000</v>
      </c>
      <c r="L44">
        <f>+(K44-F44)/1.08*28%</f>
        <v>8312888.888888889</v>
      </c>
      <c r="M44">
        <f>+(K44-F44)-(K44-F44)/1.08*28%</f>
        <v>23751111.111111112</v>
      </c>
      <c r="T44">
        <f>490000000+435848000</f>
        <v>925848000</v>
      </c>
    </row>
    <row r="45">
      <c r="C45" t="str">
        <v>HD15</v>
      </c>
      <c r="D45" t="str">
        <v>VG36</v>
      </c>
      <c r="E45" t="str">
        <v>Gỗ Long An - Cửa Lò</v>
      </c>
      <c r="F45">
        <f>+H45*I45</f>
        <v>320000000</v>
      </c>
      <c r="G45">
        <f>+K45-SUM(N45:W45)</f>
        <v>0</v>
      </c>
      <c r="H45">
        <v>1</v>
      </c>
      <c r="I45">
        <v>320000000</v>
      </c>
      <c r="K45">
        <f>+(J45+I45)/1.08*H45*1.08</f>
        <v>320000000</v>
      </c>
      <c r="L45">
        <f>+(K45-F45)/1.08*28%</f>
        <v>0</v>
      </c>
      <c r="M45">
        <f>+(K45-F45)-(K45-F45)/1.08*28%</f>
        <v>0</v>
      </c>
      <c r="T45">
        <v>320000000</v>
      </c>
    </row>
    <row r="46">
      <c r="C46" t="str">
        <v>HD17</v>
      </c>
      <c r="D46" t="str">
        <v>VG09</v>
      </c>
      <c r="E46" t="str">
        <v>Tro ẩm Vĩnh Tân - Nghi Sơn</v>
      </c>
      <c r="F46">
        <f>+H46*I46</f>
        <v>434767500</v>
      </c>
      <c r="G46">
        <f>+K46-SUM(N46:W46)</f>
        <v>0</v>
      </c>
      <c r="H46">
        <v>4576.5</v>
      </c>
      <c r="I46">
        <v>95000</v>
      </c>
      <c r="K46">
        <f>+(J46+I46)/1.08*H46*1.08</f>
        <v>434767500</v>
      </c>
      <c r="L46">
        <f>+(K46-F46)/1.08*28%</f>
        <v>0</v>
      </c>
      <c r="M46">
        <f>+(K46-F46)-(K46-F46)/1.08*28%</f>
        <v>0</v>
      </c>
      <c r="T46">
        <v>434767500</v>
      </c>
    </row>
    <row r="47">
      <c r="C47" t="str">
        <v>HD18</v>
      </c>
      <c r="D47" t="str">
        <v>VG36</v>
      </c>
      <c r="E47" t="str">
        <v>Xỉ Sơn Dương - Hậu Giang</v>
      </c>
      <c r="F47">
        <f>+H47*I47</f>
        <v>919066000</v>
      </c>
      <c r="G47">
        <f>+K47-SUM(N47:W47)</f>
        <v>0</v>
      </c>
      <c r="H47">
        <v>4762</v>
      </c>
      <c r="I47">
        <v>193000</v>
      </c>
      <c r="J47">
        <v>10000</v>
      </c>
      <c r="K47">
        <f>+(J47+I47)/1.08*H47*1.08</f>
        <v>966686000</v>
      </c>
      <c r="L47">
        <f>+(K47-F47)/1.08*28%</f>
        <v>12345925.925925925</v>
      </c>
      <c r="M47">
        <f>+(K47-F47)-(K47-F47)/1.08*28%</f>
        <v>35274074.074074075</v>
      </c>
      <c r="T47">
        <f>900000000+66686000</f>
        <v>966686000</v>
      </c>
    </row>
    <row r="48">
      <c r="C48" t="str">
        <v>HD21</v>
      </c>
      <c r="D48" t="str">
        <v>VG09</v>
      </c>
      <c r="E48" t="str">
        <v>Xỉ Sơn Dương - Hậu Giang</v>
      </c>
      <c r="F48">
        <f>+H48*I48</f>
        <v>915785000</v>
      </c>
      <c r="G48">
        <f>+K48-SUM(N48:W48)</f>
        <v>0</v>
      </c>
      <c r="H48">
        <v>4745</v>
      </c>
      <c r="I48">
        <v>193000</v>
      </c>
      <c r="J48">
        <v>10000</v>
      </c>
      <c r="K48">
        <f>+(J48+I48)/1.08*H48*1.08</f>
        <v>963235000</v>
      </c>
      <c r="L48">
        <f>+(K48-F48)/1.08*28%</f>
        <v>12301851.85185185</v>
      </c>
      <c r="M48">
        <f>+(K48-F48)-(K48-F48)/1.08*28%</f>
        <v>35148148.14814815</v>
      </c>
      <c r="T48">
        <v>963235000</v>
      </c>
    </row>
    <row r="49">
      <c r="C49" t="str">
        <v>HD22</v>
      </c>
      <c r="D49" t="str">
        <v>VG36</v>
      </c>
      <c r="E49" t="str">
        <v>Quặng Vĩnh Xương - Hải Phòng</v>
      </c>
      <c r="F49">
        <f>+H49*I49</f>
        <v>680724250</v>
      </c>
      <c r="G49">
        <f>+K49-SUM(N49:W49)</f>
        <v>-5800.000000119209</v>
      </c>
      <c r="H49">
        <v>4694.65</v>
      </c>
      <c r="I49">
        <v>145000</v>
      </c>
      <c r="J49">
        <v>0</v>
      </c>
      <c r="K49">
        <f>+(J49+I49)/1.08*H49*1.08</f>
        <v>680724249.9999999</v>
      </c>
      <c r="L49">
        <f>+(K49-F49)/1.08*28%</f>
        <v>-3.09061121057581e-8</v>
      </c>
      <c r="M49">
        <f>+(K49-F49)-(K49-F49)/1.08*28%</f>
        <v>-8.830317744502314e-8</v>
      </c>
      <c r="U49">
        <f>300000000+380730050</f>
        <v>680730050</v>
      </c>
    </row>
    <row r="50">
      <c r="C50" t="str">
        <v>HD23</v>
      </c>
      <c r="D50" t="str">
        <v>VG15</v>
      </c>
      <c r="E50" t="str">
        <v>Xỉ Sơn Dương - Hậu Giang</v>
      </c>
      <c r="F50">
        <f>+H50*I50</f>
        <v>925628000</v>
      </c>
      <c r="G50">
        <f>+K50-SUM(N50:W50)</f>
        <v>0</v>
      </c>
      <c r="H50">
        <v>4796</v>
      </c>
      <c r="I50">
        <v>193000</v>
      </c>
      <c r="J50">
        <v>0</v>
      </c>
      <c r="K50">
        <f>+(J50+I50)/1.08*H50*1.08</f>
        <v>925628000</v>
      </c>
      <c r="L50">
        <f>+(K50-F50)/1.08*28%</f>
        <v>0</v>
      </c>
      <c r="M50">
        <f>+(K50-F50)-(K50-F50)/1.08*28%</f>
        <v>0</v>
      </c>
      <c r="U50">
        <f>200000000+300000000+425628000</f>
        <v>925628000</v>
      </c>
    </row>
    <row r="51">
      <c r="C51" t="str">
        <v>HD24</v>
      </c>
      <c r="D51" t="str">
        <v>VG18</v>
      </c>
      <c r="E51" t="str">
        <v>Cliker Hòn La - Hậu Giang</v>
      </c>
      <c r="F51">
        <f>+H51*I51</f>
        <v>1494806250</v>
      </c>
      <c r="G51">
        <f>+K51-SUM(N51:W51)</f>
        <v>0</v>
      </c>
      <c r="H51">
        <v>7972.3</v>
      </c>
      <c r="I51">
        <v>187500</v>
      </c>
      <c r="J51">
        <v>0</v>
      </c>
      <c r="K51">
        <f>+(J51+I51)/1.08*H51*1.08</f>
        <v>1494806250</v>
      </c>
      <c r="L51">
        <f>+(K51-F51)/1.08*28%</f>
        <v>0</v>
      </c>
      <c r="M51">
        <f>+(K51-F51)-(K51-F51)/1.08*28%</f>
        <v>0</v>
      </c>
      <c r="U51">
        <f>980000000-425628000+490000000+450434250</f>
        <v>1494806250</v>
      </c>
    </row>
    <row r="52">
      <c r="C52" t="str">
        <v>HD28</v>
      </c>
      <c r="D52" t="str">
        <v>VG18</v>
      </c>
      <c r="E52" t="str">
        <v>Xỉ Sơn Dương - HCM</v>
      </c>
      <c r="F52">
        <f>+H52*I52</f>
        <v>1599654000</v>
      </c>
      <c r="G52">
        <f>+K52-SUM(N52:W52)</f>
        <v>0</v>
      </c>
      <c r="H52">
        <v>7998.27</v>
      </c>
      <c r="I52">
        <v>200000</v>
      </c>
      <c r="J52">
        <v>25000</v>
      </c>
      <c r="K52">
        <f>+(J52+I52)/1.08*H52*1.08</f>
        <v>1799610750</v>
      </c>
      <c r="L52">
        <f>+(K52-F52)/1.08*28%</f>
        <v>51840638.88888889</v>
      </c>
      <c r="M52">
        <f>+(K52-F52)-(K52-F52)/1.08*28%</f>
        <v>148116111.1111111</v>
      </c>
      <c r="U52">
        <f>494594250-450434250+499000000+450000000+448610750+357840000</f>
        <v>1799610750</v>
      </c>
    </row>
    <row r="53">
      <c r="C53" t="str">
        <v>HD29</v>
      </c>
      <c r="D53" t="str">
        <v>VG09</v>
      </c>
      <c r="E53" t="str">
        <v>Xỉ Sơn Dương - XM Tây Đô</v>
      </c>
      <c r="F53">
        <f>+H53*I53</f>
        <v>995400000</v>
      </c>
      <c r="G53">
        <f>+K53-SUM(N53:W53)</f>
        <v>0</v>
      </c>
      <c r="H53">
        <v>4740</v>
      </c>
      <c r="I53">
        <v>210000</v>
      </c>
      <c r="J53">
        <v>30000</v>
      </c>
      <c r="K53">
        <f>+(J53+I53)/1.08*H53*1.08</f>
        <v>1137600000</v>
      </c>
      <c r="L53">
        <f>+(K53-F53)/1.08*28%</f>
        <v>36866666.666666664</v>
      </c>
      <c r="M53">
        <f>+(K53-F53)-(K53-F53)/1.08*28%</f>
        <v>105333333.33333334</v>
      </c>
      <c r="U53">
        <f>400000000-357840000+448610750+646829250</f>
        <v>1137600000</v>
      </c>
    </row>
    <row r="54">
      <c r="C54" t="str">
        <v>HD30</v>
      </c>
      <c r="D54" t="str">
        <v>VG36</v>
      </c>
      <c r="E54" t="str">
        <v>Clinker Hòn La - HCM</v>
      </c>
      <c r="F54">
        <f>+H54*I54</f>
        <v>923562900</v>
      </c>
      <c r="G54">
        <f>+K54-SUM(N54:W54)</f>
        <v>0</v>
      </c>
      <c r="H54">
        <v>4785.3</v>
      </c>
      <c r="I54">
        <v>193000</v>
      </c>
      <c r="J54">
        <v>0</v>
      </c>
      <c r="K54">
        <f>+(J54+I54)/1.08*H54*1.08</f>
        <v>923562900</v>
      </c>
      <c r="L54">
        <f>+(K54-F54)/1.08*28%</f>
        <v>0</v>
      </c>
      <c r="M54">
        <f>+(K54-F54)-(K54-F54)/1.08*28%</f>
        <v>0</v>
      </c>
      <c r="U54">
        <f>823170750+100392150</f>
        <v>923562900</v>
      </c>
    </row>
    <row r="55">
      <c r="C55" t="str">
        <v>HD31</v>
      </c>
      <c r="D55" t="str">
        <v>VG05</v>
      </c>
      <c r="E55" t="str">
        <v>Than Quảng Ninh - Nghi Sơn</v>
      </c>
      <c r="F55">
        <f>+H55*I55</f>
        <v>346465800</v>
      </c>
      <c r="G55">
        <f>+K55-SUM(N55:W55)</f>
        <v>0</v>
      </c>
      <c r="H55">
        <v>3849.62</v>
      </c>
      <c r="I55">
        <v>90000</v>
      </c>
      <c r="J55">
        <v>0</v>
      </c>
      <c r="K55">
        <f>+(J55+I55)/1.08*H55*1.08</f>
        <v>346465800</v>
      </c>
      <c r="L55">
        <f>+(K55-F55)/1.08*28%</f>
        <v>0</v>
      </c>
      <c r="M55">
        <f>+(K55-F55)-(K55-F55)/1.08*28%</f>
        <v>0</v>
      </c>
      <c r="U55">
        <f>400000000-100392150+46857950</f>
        <v>346465800</v>
      </c>
    </row>
    <row r="56">
      <c r="C56" t="str">
        <v>HD32</v>
      </c>
      <c r="D56" t="str">
        <v>VG36</v>
      </c>
      <c r="E56" t="str">
        <v>Than Gò Da - Đà Nẵng</v>
      </c>
      <c r="F56">
        <f>+H56*I56</f>
        <v>510000000</v>
      </c>
      <c r="G56">
        <f>+K56-SUM(N56:W56)</f>
        <v>0</v>
      </c>
      <c r="H56">
        <v>1</v>
      </c>
      <c r="I56">
        <v>510000000</v>
      </c>
      <c r="J56">
        <v>0</v>
      </c>
      <c r="K56">
        <f>+(J56+I56)/1.08*H56*1.08</f>
        <v>510000000</v>
      </c>
      <c r="L56">
        <f>+(K56-F56)/1.08*28%</f>
        <v>0</v>
      </c>
      <c r="M56">
        <f>+(K56-F56)-(K56-F56)/1.08*28%</f>
        <v>0</v>
      </c>
      <c r="U56">
        <f>213582260-46857950+343275690</f>
        <v>510000000</v>
      </c>
    </row>
    <row r="57">
      <c r="C57" t="str">
        <v>HD33</v>
      </c>
      <c r="D57" t="str">
        <v>VG05</v>
      </c>
      <c r="E57" t="str">
        <v>Quặng Vĩnh Xương - Hải Phòng</v>
      </c>
      <c r="F57">
        <f>+H57*I57</f>
        <v>603790110</v>
      </c>
      <c r="G57">
        <f>+K57-SUM(N57:W57)</f>
        <v>0</v>
      </c>
      <c r="H57">
        <v>3998.61</v>
      </c>
      <c r="I57">
        <v>151000</v>
      </c>
      <c r="J57">
        <v>0</v>
      </c>
      <c r="K57">
        <f>+(J57+I57)/1.08*H57*1.08</f>
        <v>603790110</v>
      </c>
      <c r="L57">
        <f>+(K57-F57)/1.08*28%</f>
        <v>0</v>
      </c>
      <c r="M57">
        <f>+(K57-F57)-(K57-F57)/1.08*28%</f>
        <v>0</v>
      </c>
      <c r="U57">
        <f>490000000+457065800-343275690</f>
        <v>603790110</v>
      </c>
    </row>
    <row r="58">
      <c r="C58" t="str">
        <v>HD34</v>
      </c>
      <c r="D58" t="str">
        <v>VG15</v>
      </c>
      <c r="E58" t="str">
        <v>Chân Mây - Hâụ Giang</v>
      </c>
      <c r="F58">
        <f>+H58*I58</f>
        <v>1116447400</v>
      </c>
      <c r="G58">
        <f>+K58-SUM(N58:W58)</f>
        <v>0</v>
      </c>
      <c r="H58">
        <v>4750.84</v>
      </c>
      <c r="I58">
        <v>235000</v>
      </c>
      <c r="J58">
        <v>0</v>
      </c>
      <c r="K58">
        <f>+(J58+I58)/1.08*H58*1.08</f>
        <v>1116447400</v>
      </c>
      <c r="L58">
        <f>+(K58-F58)/1.08*28%</f>
        <v>0</v>
      </c>
      <c r="M58">
        <f>+(K58-F58)-(K58-F58)/1.08*28%</f>
        <v>0</v>
      </c>
      <c r="V58">
        <v>1116447400</v>
      </c>
    </row>
    <row r="59">
      <c r="C59" t="str">
        <v>HD35</v>
      </c>
      <c r="D59" t="str">
        <v>VG18</v>
      </c>
      <c r="E59" t="str">
        <v>Tôn Cuộn Gò Dầu - Hải Phòng</v>
      </c>
      <c r="F59">
        <f>+H59*I59</f>
        <v>1180433520</v>
      </c>
      <c r="G59">
        <f>+K59-SUM(N59:W59)</f>
        <v>0</v>
      </c>
      <c r="H59">
        <v>8030.16</v>
      </c>
      <c r="I59">
        <v>147000</v>
      </c>
      <c r="J59">
        <v>0</v>
      </c>
      <c r="K59">
        <f>+(J59+I59)/1.08*H59*1.08</f>
        <v>1180433519.9999998</v>
      </c>
      <c r="L59">
        <f>+(K59-F59)/1.08*28%</f>
        <v>-6.18122242115162e-8</v>
      </c>
      <c r="M59">
        <f>+(K59-F59)-(K59-F59)/1.08*28%</f>
        <v>-1.7660635489004629e-7</v>
      </c>
      <c r="V59">
        <v>1180433520</v>
      </c>
    </row>
    <row r="60">
      <c r="C60" t="str">
        <v>HD37</v>
      </c>
      <c r="D60" t="str">
        <v>VG05</v>
      </c>
      <c r="E60" t="str">
        <v>Xỉ Sơn Dương - Hậu Giang</v>
      </c>
      <c r="F60">
        <f>+H60*I60</f>
        <v>1011241000</v>
      </c>
      <c r="G60">
        <f>+K60-SUM(N60:W60)</f>
        <v>0</v>
      </c>
      <c r="H60">
        <v>3997</v>
      </c>
      <c r="I60">
        <v>253000</v>
      </c>
      <c r="J60">
        <v>0</v>
      </c>
      <c r="K60">
        <f>+(J60+I60)/1.08*H60*1.08</f>
        <v>1011241000</v>
      </c>
      <c r="L60">
        <f>+(K60-F60)/1.08*28%</f>
        <v>0</v>
      </c>
      <c r="M60">
        <f>+(K60-F60)-(K60-F60)/1.08*28%</f>
        <v>0</v>
      </c>
      <c r="V60">
        <v>1011241000</v>
      </c>
    </row>
    <row r="61">
      <c r="C61" t="str">
        <v>HD38</v>
      </c>
      <c r="D61" t="str">
        <v>VG36</v>
      </c>
      <c r="E61" t="str">
        <v>Xỉ Sơn Dương - HCM</v>
      </c>
      <c r="F61">
        <f>+H61*I61</f>
        <v>1159860870</v>
      </c>
      <c r="G61">
        <f>+K61-SUM(N61:W61)</f>
        <v>0</v>
      </c>
      <c r="H61">
        <v>4773.09</v>
      </c>
      <c r="I61">
        <v>243000</v>
      </c>
      <c r="J61">
        <v>0</v>
      </c>
      <c r="K61">
        <f>+(J61+I61)/1.08*H61*1.08</f>
        <v>1159860870</v>
      </c>
      <c r="L61">
        <f>+(K61-F61)/1.08*28%</f>
        <v>0</v>
      </c>
      <c r="M61">
        <f>+(K61-F61)-(K61-F61)/1.08*28%</f>
        <v>0</v>
      </c>
      <c r="V61">
        <v>1159860870</v>
      </c>
    </row>
    <row r="62">
      <c r="C62" t="str">
        <v>HD42</v>
      </c>
      <c r="D62" t="str">
        <v>VG09</v>
      </c>
      <c r="E62" t="str">
        <v>Xỉ Sơn Dương - Hậu Giang</v>
      </c>
      <c r="F62">
        <f>+H62*I62</f>
        <v>1288287000</v>
      </c>
      <c r="G62">
        <f>+K62-SUM(N62:W62)</f>
        <v>0</v>
      </c>
      <c r="H62">
        <v>4719</v>
      </c>
      <c r="I62">
        <v>273000</v>
      </c>
      <c r="J62">
        <v>0</v>
      </c>
      <c r="K62">
        <f>+(J62+I62)/1.08*H62*1.08</f>
        <v>1288287000</v>
      </c>
      <c r="L62">
        <f>+(K62-F62)/1.08*28%</f>
        <v>0</v>
      </c>
      <c r="M62">
        <f>+(K62-F62)-(K62-F62)/1.08*28%</f>
        <v>0</v>
      </c>
      <c r="V62">
        <v>1288287000</v>
      </c>
    </row>
    <row r="63">
      <c r="C63" t="str">
        <v>HD43</v>
      </c>
      <c r="D63" t="str">
        <v>VG18</v>
      </c>
      <c r="E63" t="str">
        <v>Xỉ Sơn Dương - Hậu Giang</v>
      </c>
      <c r="F63">
        <f>+H63*I63</f>
        <v>2010852000</v>
      </c>
      <c r="G63">
        <f>+K63-SUM(N63:W63)</f>
        <v>2010852000.0000002</v>
      </c>
      <c r="H63">
        <v>7794</v>
      </c>
      <c r="I63">
        <v>258000</v>
      </c>
      <c r="J63">
        <v>0</v>
      </c>
      <c r="K63">
        <f>+(J63+I63)/1.08*H63*1.08</f>
        <v>2010852000.0000002</v>
      </c>
      <c r="L63">
        <f>+(K63-F63)/1.08*28%</f>
        <v>6.18122242115162e-8</v>
      </c>
      <c r="M63">
        <f>+(K63-F63)-(K63-F63)/1.08*28%</f>
        <v>1.7660635489004629e-7</v>
      </c>
    </row>
    <row r="64">
      <c r="C64" t="str">
        <v>HD44</v>
      </c>
      <c r="D64" t="str">
        <v>VG15</v>
      </c>
      <c r="E64" t="str">
        <v>Xỉ Sơn Dương - Hậu Giang</v>
      </c>
      <c r="F64">
        <f>+H64*I64</f>
        <v>1213135000</v>
      </c>
      <c r="G64">
        <f>+K64-SUM(N64:W64)</f>
        <v>1213135000</v>
      </c>
      <c r="H64">
        <v>4795</v>
      </c>
      <c r="I64">
        <v>253000</v>
      </c>
      <c r="J64">
        <v>0</v>
      </c>
      <c r="K64">
        <f>+(J64+I64)/1.08*H64*1.08</f>
        <v>1213135000</v>
      </c>
      <c r="L64">
        <f>+(K64-F64)/1.08*28%</f>
        <v>0</v>
      </c>
      <c r="M64">
        <f>+(K64-F64)-(K64-F64)/1.08*28%</f>
        <v>0</v>
      </c>
    </row>
    <row r="65">
      <c r="C65" t="str">
        <v>HD45</v>
      </c>
      <c r="D65" t="str">
        <v>VG05</v>
      </c>
      <c r="E65" t="str">
        <v>Clinker - Chân Mây Hậu Giang</v>
      </c>
      <c r="F65">
        <f>+H65*I65</f>
        <v>841736700</v>
      </c>
      <c r="G65">
        <f>+K65-SUM(N65:W65)</f>
        <v>841736700</v>
      </c>
      <c r="H65">
        <v>4008.27</v>
      </c>
      <c r="I65">
        <v>210000</v>
      </c>
      <c r="J65">
        <v>0</v>
      </c>
      <c r="K65">
        <f>+(J65+I65)/1.08*H65*1.08</f>
        <v>841736700</v>
      </c>
      <c r="L65">
        <f>+(K65-F65)/1.08*28%</f>
        <v>0</v>
      </c>
      <c r="M65">
        <f>+(K65-F65)-(K65-F65)/1.08*28%</f>
        <v>0</v>
      </c>
    </row>
    <row r="66">
      <c r="C66" t="str">
        <v>HD46</v>
      </c>
      <c r="D66" t="str">
        <v>VG36</v>
      </c>
      <c r="E66" t="str">
        <v>Gỗ - Sài Gòn - Đà Nẵng</v>
      </c>
      <c r="F66">
        <f>+H66*I66</f>
        <v>687807407</v>
      </c>
      <c r="G66">
        <f>+K66-SUM(N66:W66)</f>
        <v>410000000</v>
      </c>
      <c r="H66">
        <v>1</v>
      </c>
      <c r="I66">
        <v>687807407</v>
      </c>
      <c r="J66">
        <v>-277807407</v>
      </c>
      <c r="K66">
        <f>+(J66+I66)/1.08*H66*1.08</f>
        <v>410000000</v>
      </c>
      <c r="L66">
        <f>+(K66-F66)/1.08*0%</f>
        <v>0</v>
      </c>
      <c r="M66">
        <f>+(K66-F66)-(K66-F66)/1.08*0%</f>
        <v>-277807407</v>
      </c>
    </row>
    <row r="67">
      <c r="C67" t="str">
        <v>HD47</v>
      </c>
      <c r="D67" t="str">
        <v>VG36</v>
      </c>
      <c r="E67" t="str">
        <v>Clinker - Chân Mây Hậu Giang</v>
      </c>
      <c r="F67">
        <f>+H67*I67</f>
        <v>1004856300</v>
      </c>
      <c r="G67">
        <f>+K67-SUM(N67:W67)</f>
        <v>1004856299.9999999</v>
      </c>
      <c r="H67">
        <v>4785.03</v>
      </c>
      <c r="I67">
        <v>210000</v>
      </c>
      <c r="J67">
        <v>0</v>
      </c>
      <c r="K67">
        <f>+(J67+I67)/1.08*H67*1.08</f>
        <v>1004856299.9999999</v>
      </c>
      <c r="L67">
        <f>+(K67-F67)/1.08*28%</f>
        <v>-3.09061121057581e-8</v>
      </c>
      <c r="M67">
        <f>+(K67-F67)-(K67-F67)/1.08*28%</f>
        <v>-8.830317744502314e-8</v>
      </c>
    </row>
    <row r="68">
      <c r="C68" t="str">
        <v>HD48</v>
      </c>
      <c r="D68" t="str">
        <v>VG18</v>
      </c>
      <c r="E68" t="str">
        <v>Xỉ Sơn Dương - Hậu Giang</v>
      </c>
      <c r="F68">
        <f>+H68*I68</f>
        <v>1859256000</v>
      </c>
      <c r="G68">
        <f>+K68-SUM(N68:W68)</f>
        <v>1859256000</v>
      </c>
      <c r="H68">
        <v>7497</v>
      </c>
      <c r="I68">
        <v>248000</v>
      </c>
      <c r="J68">
        <v>0</v>
      </c>
      <c r="K68">
        <f>+(J68+I68)/1.08*H68*1.08</f>
        <v>1859256000</v>
      </c>
      <c r="L68">
        <f>+(K68-F68)/1.08*28%</f>
        <v>0</v>
      </c>
      <c r="M68">
        <f>+(K68-F68)-(K68-F68)/1.08*28%</f>
        <v>0</v>
      </c>
    </row>
    <row r="69">
      <c r="C69" t="str">
        <v>HD51</v>
      </c>
      <c r="D69" t="str">
        <v>VG05</v>
      </c>
      <c r="E69" t="str">
        <v>Quặng Vĩnh Xương - Hải Phòng</v>
      </c>
      <c r="F69">
        <f>+H69*I69</f>
        <v>632230400</v>
      </c>
      <c r="G69">
        <f>+K69-SUM(N69:W69)</f>
        <v>632230400.0000001</v>
      </c>
      <c r="H69">
        <v>3951.44</v>
      </c>
      <c r="I69">
        <v>160000</v>
      </c>
      <c r="J69">
        <v>0</v>
      </c>
      <c r="K69">
        <f>+(J69+I69)/1.08*H69*1.08</f>
        <v>632230400.0000001</v>
      </c>
      <c r="L69">
        <f>+(K69-F69)/1.08*28%</f>
        <v>3.09061121057581e-8</v>
      </c>
      <c r="M69">
        <f>+(K69-F69)-(K69-F69)/1.08*28%</f>
        <v>8.830317744502314e-8</v>
      </c>
    </row>
    <row r="71">
      <c r="F71">
        <f>+H71*I71</f>
        <v>0</v>
      </c>
      <c r="G71">
        <f>+K71-SUM(N71:S71)</f>
        <v>0</v>
      </c>
      <c r="K71">
        <f>+(J71+I71)/1.08*H71*1.08</f>
        <v>0</v>
      </c>
      <c r="L71">
        <f>+(K71-F71)/1.08*13%</f>
        <v>0</v>
      </c>
      <c r="M71">
        <f>+(K71-F71)-(K71-F71)/1.08*13%</f>
        <v>0</v>
      </c>
    </row>
    <row r="72">
      <c r="C72" t="str">
        <v>Tiền Gửi giá</v>
      </c>
      <c r="F72">
        <f>-SUM(M38:M71)-SUM(M89:M105)</f>
        <v>-602208148.5555552</v>
      </c>
      <c r="G72">
        <f>+F72-887311950-887039260-SUM(O72:V72)</f>
        <v>-989520098.5555553</v>
      </c>
      <c r="P72">
        <f>-121310000-378690000</f>
        <v>-500000000</v>
      </c>
      <c r="Q72">
        <f>-100000000-164100000-122939260</f>
        <v>-387039260</v>
      </c>
      <c r="S72">
        <v>-500000000</v>
      </c>
      <c r="W72" t="str">
        <v>-</v>
      </c>
    </row>
    <row r="73">
      <c r="A73">
        <v>2</v>
      </c>
      <c r="C73" t="str">
        <v>Công Nợ Công ty Hoàng Quyên</v>
      </c>
      <c r="F73">
        <f>+SUM(F89:F105)</f>
        <v>9196737300</v>
      </c>
      <c r="G73" cm="1">
        <f t="array" ref="G73">SUMPRODUCT(IF(F74:F105&lt;G74:G105, F74:F105, G74:G105), --ISNUMBER(F74:F105), --ISNUMBER(G74:G105))</f>
        <v>4020328300</v>
      </c>
      <c r="N73">
        <f>+SUM(N74:N105)</f>
        <v>200000000</v>
      </c>
      <c r="O73">
        <f>+SUM(O74:O105)</f>
        <v>500000000</v>
      </c>
      <c r="P73">
        <f>+SUM(P74:P105)</f>
        <v>2467378940</v>
      </c>
      <c r="Q73">
        <f>+SUM(Q74:Q105)</f>
        <v>3640172040</v>
      </c>
      <c r="R73">
        <f>+SUM(R74:R105)</f>
        <v>1375444440</v>
      </c>
      <c r="S73">
        <f>+SUM(S74:S105)</f>
        <v>2321532000</v>
      </c>
      <c r="T73">
        <f>+SUM(T74:T105)</f>
        <v>507305200</v>
      </c>
      <c r="U73">
        <f>+SUM(U74:U105)</f>
        <v>1700000000</v>
      </c>
      <c r="V73">
        <f>+SUM(V74:V105)</f>
        <v>1003675950</v>
      </c>
      <c r="W73">
        <f>+SUM(W74:W77)</f>
        <v>0</v>
      </c>
    </row>
    <row r="74">
      <c r="C74" t="str">
        <v>HD52</v>
      </c>
      <c r="F74">
        <f>+H74*I74</f>
        <v>247156000</v>
      </c>
      <c r="G74">
        <f>+K74-SUM(N74:W74)</f>
        <v>0</v>
      </c>
      <c r="H74">
        <v>4753</v>
      </c>
      <c r="I74">
        <v>52000</v>
      </c>
      <c r="J74">
        <v>0</v>
      </c>
      <c r="K74">
        <f>+(J74+I74)/1.08*H74*1.08</f>
        <v>247156000.00000003</v>
      </c>
      <c r="L74">
        <f>+(K74-F74)/1.08*15%</f>
        <v>4.1392114427354594e-9</v>
      </c>
      <c r="M74">
        <f>+(K74-F74)-(K74-F74)/1.08*15%</f>
        <v>2.5663110944959854e-8</v>
      </c>
      <c r="N74">
        <v>200000000</v>
      </c>
      <c r="O74">
        <v>47156000</v>
      </c>
      <c r="W74" t="str">
        <v>-</v>
      </c>
    </row>
    <row r="75">
      <c r="C75" t="str">
        <v>HD59</v>
      </c>
      <c r="F75">
        <f>+H75*I75</f>
        <v>532494000</v>
      </c>
      <c r="G75">
        <f>+K75-SUM(N75:W75)</f>
        <v>0</v>
      </c>
      <c r="H75">
        <v>3944.4</v>
      </c>
      <c r="I75">
        <v>135000</v>
      </c>
      <c r="J75">
        <f>169000-135000</f>
        <v>34000</v>
      </c>
      <c r="K75">
        <v>572615940</v>
      </c>
      <c r="L75">
        <f>+(K75-F75)/1.08*12%</f>
        <v>4457993.333333333</v>
      </c>
      <c r="M75">
        <f>+(K75-F75)-(K75-F75)/1.08*12%</f>
        <v>35663946.666666664</v>
      </c>
      <c r="O75">
        <f>152844000+300000000</f>
        <v>452844000</v>
      </c>
      <c r="P75">
        <v>119771940</v>
      </c>
      <c r="W75" t="str">
        <v>-</v>
      </c>
    </row>
    <row r="76">
      <c r="C76" t="str">
        <v>HD61</v>
      </c>
      <c r="F76">
        <f>+H76*I76</f>
        <v>632512800</v>
      </c>
      <c r="G76">
        <f>+K76-SUM(N76:W76)</f>
        <v>0</v>
      </c>
      <c r="H76">
        <v>4685.28</v>
      </c>
      <c r="I76">
        <v>135000</v>
      </c>
      <c r="J76">
        <f>155000-135000</f>
        <v>20000</v>
      </c>
      <c r="K76">
        <v>674871550</v>
      </c>
      <c r="L76">
        <f>+(K76-F76)/1.08*12%</f>
        <v>4706527.777777777</v>
      </c>
      <c r="M76">
        <f>+(K76-F76)-(K76-F76)/1.08*12%</f>
        <v>37652222.222222224</v>
      </c>
      <c r="P76">
        <f>300000000-119771940+494643490</f>
        <v>674871550</v>
      </c>
      <c r="W76" t="str">
        <v>-</v>
      </c>
    </row>
    <row r="77">
      <c r="C77" t="str">
        <v>HD63</v>
      </c>
      <c r="F77">
        <f>+H77*I77</f>
        <v>250380000</v>
      </c>
      <c r="G77">
        <f>+K77-SUM(N77:W77)</f>
        <v>0</v>
      </c>
      <c r="H77">
        <v>4815</v>
      </c>
      <c r="I77">
        <v>52000</v>
      </c>
      <c r="J77">
        <v>0</v>
      </c>
      <c r="K77">
        <f>+(J77+I77)/1.08*H77*1.08</f>
        <v>250380000</v>
      </c>
      <c r="L77">
        <f>+(K77-F77)/1.08*15%</f>
        <v>0</v>
      </c>
      <c r="M77">
        <f>+(K77-F77)-(K77-F77)/1.08*15%</f>
        <v>0</v>
      </c>
      <c r="P77">
        <f>200000000+50380000</f>
        <v>250380000</v>
      </c>
      <c r="W77" t="str">
        <v>-</v>
      </c>
    </row>
    <row r="78">
      <c r="C78" t="str">
        <v>HD76</v>
      </c>
      <c r="D78" t="str">
        <v>VG15</v>
      </c>
      <c r="E78" t="str">
        <v>Cát Vĩnh Xương - Đà Nẵng</v>
      </c>
      <c r="F78">
        <f>+H78*I78</f>
        <v>581450000</v>
      </c>
      <c r="G78">
        <f>+K78-SUM(N78:W78)</f>
        <v>0</v>
      </c>
      <c r="H78">
        <v>4651.6</v>
      </c>
      <c r="I78">
        <v>125000</v>
      </c>
      <c r="J78">
        <v>30000</v>
      </c>
      <c r="K78">
        <v>772735450</v>
      </c>
      <c r="L78">
        <f>+(K78-F78)/1.08*20%</f>
        <v>35423231.481481485</v>
      </c>
      <c r="M78">
        <f>+(K78-F78)-(K78-F78)/1.08*20%</f>
        <v>155862218.5185185</v>
      </c>
      <c r="P78">
        <v>772735450</v>
      </c>
      <c r="W78" t="str">
        <v>-</v>
      </c>
    </row>
    <row r="79">
      <c r="C79" t="str">
        <v>HD78</v>
      </c>
      <c r="D79" t="str">
        <v>VG36</v>
      </c>
      <c r="E79" t="str">
        <v>Cát Vĩnh Xương - Đà Nẵng</v>
      </c>
      <c r="F79">
        <f>+H79*I79</f>
        <v>620544600</v>
      </c>
      <c r="G79">
        <f>+K79-SUM(N79:W79)</f>
        <v>0</v>
      </c>
      <c r="H79">
        <v>4773.42</v>
      </c>
      <c r="I79">
        <v>130000</v>
      </c>
      <c r="J79">
        <v>25000</v>
      </c>
      <c r="K79">
        <v>753786700</v>
      </c>
      <c r="L79">
        <f>+(K79-F79)/1.08*20%</f>
        <v>24674462.962962963</v>
      </c>
      <c r="M79">
        <f>+(K79-F79)-(K79-F79)/1.08*20%</f>
        <v>108567637.03703704</v>
      </c>
      <c r="P79">
        <f>200000000-50380000+500000000</f>
        <v>649620000</v>
      </c>
      <c r="Q79">
        <v>104166700</v>
      </c>
      <c r="W79" t="str">
        <v>-</v>
      </c>
    </row>
    <row r="80">
      <c r="C80" t="str">
        <v>HD81</v>
      </c>
      <c r="D80" t="str">
        <v>VG05</v>
      </c>
      <c r="E80" t="str">
        <v>Đá Dung Quất - Hậu giang</v>
      </c>
      <c r="F80">
        <f>+H80*I80</f>
        <v>520349700</v>
      </c>
      <c r="G80">
        <f>+K80-SUM(N80:W80)</f>
        <v>0</v>
      </c>
      <c r="H80">
        <v>4002.69</v>
      </c>
      <c r="I80">
        <v>130000</v>
      </c>
      <c r="J80">
        <v>0</v>
      </c>
      <c r="K80">
        <f>+(J80+I80)/1.08*H80*1.08</f>
        <v>520349700.00000006</v>
      </c>
      <c r="L80">
        <f>+(K80-F80)/1.08*15%</f>
        <v>8.278422885470919e-9</v>
      </c>
      <c r="M80">
        <f>+(K80-F80)-(K80-F80)/1.08*15%</f>
        <v>5.132622188991971e-8</v>
      </c>
      <c r="Q80">
        <v>520349700</v>
      </c>
      <c r="W80" t="str">
        <v>-</v>
      </c>
    </row>
    <row r="81">
      <c r="C81" t="str">
        <v>HD82</v>
      </c>
      <c r="D81" t="str">
        <v>VG09</v>
      </c>
      <c r="E81" t="str">
        <v>Cát Vĩnh Xương - Đà Nẵng</v>
      </c>
      <c r="F81">
        <f>+H81*I81</f>
        <v>589966000</v>
      </c>
      <c r="G81">
        <f>+K81-SUM(N81:W81)</f>
        <v>0</v>
      </c>
      <c r="H81">
        <v>4538.2</v>
      </c>
      <c r="I81">
        <v>130000</v>
      </c>
      <c r="J81">
        <v>15000</v>
      </c>
      <c r="K81">
        <f>+(J81+I81)/1.08*H81*1.08</f>
        <v>658038999.9999999</v>
      </c>
      <c r="L81">
        <f>+(K81-F81)/1.08*15%</f>
        <v>9454583.333333315</v>
      </c>
      <c r="M81">
        <f>+(K81-F81)-(K81-F81)/1.08*15%</f>
        <v>58618416.66666657</v>
      </c>
      <c r="Q81">
        <v>658039000</v>
      </c>
      <c r="W81" t="str">
        <v>-</v>
      </c>
    </row>
    <row r="82">
      <c r="C82" t="str">
        <v>HD84</v>
      </c>
      <c r="D82" t="str">
        <v>VG15</v>
      </c>
      <c r="E82" t="str">
        <v>Cát Vĩnh Xương - Đà Nẵng</v>
      </c>
      <c r="F82">
        <f>+H82*I82</f>
        <v>581195000</v>
      </c>
      <c r="G82">
        <f>+K82-SUM(N82:W82)</f>
        <v>0</v>
      </c>
      <c r="H82">
        <v>4649.56</v>
      </c>
      <c r="I82">
        <v>125000</v>
      </c>
      <c r="J82">
        <v>20000</v>
      </c>
      <c r="K82">
        <v>667377000</v>
      </c>
      <c r="L82">
        <f>+(K82-F82)/1.08*17%</f>
        <v>13565685.185185187</v>
      </c>
      <c r="M82">
        <f>+(K82-F82)-(K82-F82)/1.08*17%</f>
        <v>72616314.8148148</v>
      </c>
      <c r="Q82">
        <v>667377000</v>
      </c>
      <c r="W82" t="str">
        <v>-</v>
      </c>
    </row>
    <row r="83">
      <c r="C83" t="str">
        <v>HD88</v>
      </c>
      <c r="D83" t="str">
        <v>VG36</v>
      </c>
      <c r="E83" t="str">
        <v>Cát Vĩnh Xương - Đà Nẵng</v>
      </c>
      <c r="F83">
        <f>+H83*I83</f>
        <v>568960085.5555556</v>
      </c>
      <c r="G83">
        <f>+K83-SUM(N83:W83)</f>
        <v>0</v>
      </c>
      <c r="H83">
        <v>4551.6806844444445</v>
      </c>
      <c r="I83">
        <v>125000</v>
      </c>
      <c r="J83">
        <v>13000</v>
      </c>
      <c r="K83">
        <v>545039279.9999999</v>
      </c>
      <c r="M83">
        <f>+K83-F83</f>
        <v>-23920805.5555557</v>
      </c>
      <c r="Q83">
        <v>545039280</v>
      </c>
      <c r="W83" t="str">
        <v>-</v>
      </c>
    </row>
    <row r="84">
      <c r="C84" t="str">
        <v>HD92</v>
      </c>
      <c r="D84" t="str">
        <v>VG15</v>
      </c>
      <c r="E84" t="str">
        <v>Cát Vĩnh Xương - Đà Nẵng</v>
      </c>
      <c r="F84">
        <f>+H84*I84</f>
        <v>587003750</v>
      </c>
      <c r="G84">
        <f>+K84-SUM(N84:W84)</f>
        <v>0</v>
      </c>
      <c r="H84">
        <v>4696.03</v>
      </c>
      <c r="I84">
        <v>125000</v>
      </c>
      <c r="J84">
        <v>17000</v>
      </c>
      <c r="K84">
        <v>617498359.9999999</v>
      </c>
      <c r="L84">
        <f>+(K84-F84)/1.08*13%</f>
        <v>3670647.4999999856</v>
      </c>
      <c r="M84">
        <f>+(K84-F84)-(K84-F84)/1.08*13%</f>
        <v>26823962.499999896</v>
      </c>
      <c r="Q84">
        <v>617498360</v>
      </c>
      <c r="W84" t="str">
        <v>-</v>
      </c>
    </row>
    <row r="85">
      <c r="C85" t="str">
        <v>HD95</v>
      </c>
      <c r="D85" t="str">
        <v>VG05</v>
      </c>
      <c r="E85" t="str">
        <v>Cát Vĩnh Xương - Đà Nẵng</v>
      </c>
      <c r="F85">
        <f>+H85*I85</f>
        <v>486175000</v>
      </c>
      <c r="G85">
        <f>+K85-SUM(N85:W85)</f>
        <v>0</v>
      </c>
      <c r="H85">
        <v>3889.4</v>
      </c>
      <c r="I85">
        <v>125000</v>
      </c>
      <c r="J85">
        <v>15000</v>
      </c>
      <c r="K85">
        <v>527701999.99999994</v>
      </c>
      <c r="L85">
        <f>+(K85-F85)/1.08*15%</f>
        <v>5767638.88888888</v>
      </c>
      <c r="M85">
        <f>+(K85-F85)-(K85-F85)/1.08*15%</f>
        <v>35759361.11111106</v>
      </c>
      <c r="Q85">
        <v>527702000</v>
      </c>
    </row>
    <row r="86">
      <c r="C86" t="str">
        <v>HD100</v>
      </c>
      <c r="D86" t="str">
        <v>VG05</v>
      </c>
      <c r="E86" t="str">
        <v>Đá Hòn La - Hậu Giang</v>
      </c>
      <c r="F86">
        <f>+H86*I86</f>
        <v>377460000</v>
      </c>
      <c r="G86">
        <f>+K86-SUM(N86:W86)</f>
        <v>0</v>
      </c>
      <c r="H86">
        <v>2097</v>
      </c>
      <c r="I86">
        <v>180000</v>
      </c>
      <c r="J86">
        <v>15000</v>
      </c>
      <c r="K86">
        <f>+(J86+I86)/1.08*H86*1.08</f>
        <v>408914999.99999994</v>
      </c>
      <c r="L86">
        <f>+(K86-F86)/1.08*15%</f>
        <v>4368749.999999992</v>
      </c>
      <c r="M86">
        <f>+(K86-F86)-(K86-F86)/1.08*15%</f>
        <v>27086249.999999948</v>
      </c>
      <c r="R86">
        <f>300000000+108915000</f>
        <v>408915000</v>
      </c>
    </row>
    <row r="87">
      <c r="C87" t="str">
        <v>HD101</v>
      </c>
      <c r="D87" t="str">
        <v>VG05</v>
      </c>
      <c r="E87" t="str">
        <v>Clinker Hòn La - Hậu Giang</v>
      </c>
      <c r="F87">
        <f>+H87*I87</f>
        <v>326365200</v>
      </c>
      <c r="G87">
        <f>+K87-SUM(N87:W87)</f>
        <v>0</v>
      </c>
      <c r="H87">
        <v>1813.14</v>
      </c>
      <c r="I87">
        <v>180000</v>
      </c>
      <c r="J87">
        <v>15000</v>
      </c>
      <c r="K87">
        <f>+(J87+I87)/1.08*H87*1.08</f>
        <v>353562300</v>
      </c>
      <c r="L87">
        <f>+(K87-F87)/1.08*15%</f>
        <v>3777375</v>
      </c>
      <c r="M87">
        <f>+(K87-F87)-(K87-F87)/1.08*15%</f>
        <v>23419725</v>
      </c>
      <c r="R87">
        <v>353562300</v>
      </c>
    </row>
    <row r="88">
      <c r="C88" t="str">
        <v>HD102</v>
      </c>
      <c r="D88" t="str">
        <v>VG15</v>
      </c>
      <c r="E88" t="str">
        <v>Cát Vĩnh Xương - Đà Nẵng</v>
      </c>
      <c r="F88">
        <f>+H88*I88</f>
        <v>579823400</v>
      </c>
      <c r="G88">
        <f>+K88-SUM(N88:W88)</f>
        <v>0</v>
      </c>
      <c r="H88">
        <v>4460.18</v>
      </c>
      <c r="I88">
        <v>130000</v>
      </c>
      <c r="J88">
        <v>12000</v>
      </c>
      <c r="K88">
        <v>612967140</v>
      </c>
      <c r="L88">
        <f>+(K88-F88)/1.08*13%</f>
        <v>3989524.259259259</v>
      </c>
      <c r="M88">
        <f>+(K88-F88)-(K88-F88)/1.08*13%</f>
        <v>29154215.740740743</v>
      </c>
      <c r="R88">
        <v>612967140</v>
      </c>
    </row>
    <row r="89">
      <c r="C89" t="str">
        <v>HD2</v>
      </c>
      <c r="D89" t="str">
        <v>VG05</v>
      </c>
      <c r="E89" t="str">
        <v>Cát Vĩnh Xương - Đà Nẵng</v>
      </c>
      <c r="F89">
        <f>+H89*I89</f>
        <v>490256250</v>
      </c>
      <c r="G89">
        <f>+K89-SUM(N89:W89)</f>
        <v>0</v>
      </c>
      <c r="H89">
        <v>3922.05</v>
      </c>
      <c r="I89">
        <v>125000</v>
      </c>
      <c r="J89">
        <v>13000</v>
      </c>
      <c r="K89">
        <f>+(J89+I89)/1.08*H89*1.08</f>
        <v>541242900</v>
      </c>
      <c r="L89">
        <f>+(K89-F89)/1.08*28%</f>
        <v>13218761.11111111</v>
      </c>
      <c r="M89">
        <f>+(K89-F89)-(K89-F89)/1.08*28%</f>
        <v>37767888.88888889</v>
      </c>
      <c r="S89">
        <v>541242900</v>
      </c>
      <c r="W89" t="str">
        <v>-</v>
      </c>
    </row>
    <row r="90">
      <c r="C90" t="str">
        <v>HD5</v>
      </c>
      <c r="D90" t="str">
        <v>VG36</v>
      </c>
      <c r="E90" t="str">
        <v>Cát Vĩnh Xương - Đà Nẵng</v>
      </c>
      <c r="F90">
        <f>+H90*I90</f>
        <v>596295700</v>
      </c>
      <c r="G90">
        <f>+K90-SUM(N90:W90)</f>
        <v>0</v>
      </c>
      <c r="H90">
        <v>4586.89</v>
      </c>
      <c r="I90">
        <v>130000</v>
      </c>
      <c r="J90">
        <f>+(4355.4*140000-H90*I90)/H90</f>
        <v>2934.515543211195</v>
      </c>
      <c r="K90">
        <f>+(J90+I90)/1.08*H90*1.08</f>
        <v>609756000</v>
      </c>
      <c r="L90">
        <f>+(K90-F90)/1.08*28%</f>
        <v>3489707.4074074076</v>
      </c>
      <c r="M90">
        <f>+(K90-F90)-(K90-F90)/1.08*28%</f>
        <v>9970592.592592593</v>
      </c>
      <c r="S90">
        <v>609756000</v>
      </c>
    </row>
    <row r="91">
      <c r="C91" t="str">
        <v>HD6</v>
      </c>
      <c r="D91" t="str">
        <v>VG09</v>
      </c>
      <c r="E91" t="str">
        <v>Cát Vĩnh Xương - Đà Nẵng</v>
      </c>
      <c r="F91">
        <f>+H91*I91</f>
        <v>573185000</v>
      </c>
      <c r="G91">
        <f>+K91-SUM(N91:W91)</f>
        <v>0</v>
      </c>
      <c r="H91">
        <v>4585.48</v>
      </c>
      <c r="I91">
        <v>125000</v>
      </c>
      <c r="J91">
        <f>+(4313.67*130000-H91*I91)/H91</f>
        <v>-2705.910831581427</v>
      </c>
      <c r="K91">
        <f>+(J91+I91)/1.08*H91*1.08</f>
        <v>560777099.9999999</v>
      </c>
      <c r="L91">
        <f>+(K91-F91)/1.08*28%</f>
        <v>-3216862.9629629944</v>
      </c>
      <c r="M91">
        <f>+(K91-F91)-(K91-F91)/1.08*28%</f>
        <v>-9191037.037037125</v>
      </c>
      <c r="S91">
        <v>560777100</v>
      </c>
    </row>
    <row r="92">
      <c r="C92" t="str">
        <v>HD8</v>
      </c>
      <c r="D92" t="str">
        <v>VG15</v>
      </c>
      <c r="E92" t="str">
        <v>Cát Vĩnh Xương - Đà Nẵng</v>
      </c>
      <c r="F92">
        <f>+H92*I92</f>
        <v>577403750</v>
      </c>
      <c r="G92">
        <f>+K92-SUM(N92:W92)</f>
        <v>0</v>
      </c>
      <c r="H92">
        <v>4619.23</v>
      </c>
      <c r="I92">
        <v>125000</v>
      </c>
      <c r="J92">
        <f>+(4407.58*140000-H92*I92)/H92</f>
        <v>8585.294518783434</v>
      </c>
      <c r="K92">
        <f>+(J92+I92)/1.08*H92*1.08</f>
        <v>617061199.9999999</v>
      </c>
      <c r="L92">
        <f>+(K92-F92)/1.08*28%</f>
        <v>10281561.11111108</v>
      </c>
      <c r="M92">
        <f>+(K92-F92)-(K92-F92)/1.08*28%</f>
        <v>29375888.8888888</v>
      </c>
      <c r="S92">
        <v>609756000</v>
      </c>
      <c r="T92">
        <v>7305200</v>
      </c>
    </row>
    <row r="93">
      <c r="C93" t="str">
        <v>HD9</v>
      </c>
      <c r="D93" t="str">
        <v>VG36</v>
      </c>
      <c r="E93" t="str">
        <v>Clinker Hòn La - Hậu Giang</v>
      </c>
      <c r="F93">
        <f>+H93*I93</f>
        <v>872049900</v>
      </c>
      <c r="G93">
        <f>+K93-SUM(N93:W93)</f>
        <v>0</v>
      </c>
      <c r="H93">
        <v>4765.3</v>
      </c>
      <c r="I93">
        <v>183000</v>
      </c>
      <c r="J93">
        <v>0</v>
      </c>
      <c r="K93">
        <f>+(J93+I93)/1.08*H93*1.08</f>
        <v>872049900.0000001</v>
      </c>
      <c r="L93">
        <f>+(K93-F93)/1.08*28%</f>
        <v>3.09061121057581e-8</v>
      </c>
      <c r="M93">
        <f>+(K93-F93)-(K93-F93)/1.08*28%</f>
        <v>8.830317744502314e-8</v>
      </c>
      <c r="T93">
        <v>500000000</v>
      </c>
      <c r="U93">
        <f>200000000+172049900</f>
        <v>372049900</v>
      </c>
    </row>
    <row r="94">
      <c r="C94" t="str">
        <v>HD11</v>
      </c>
      <c r="D94" t="str">
        <v>VG05</v>
      </c>
      <c r="E94" t="str">
        <v>Cát Vĩnh Xương - Đà Nẵng</v>
      </c>
      <c r="F94">
        <f>+H94*I94</f>
        <v>477002400</v>
      </c>
      <c r="G94">
        <f>+K94-SUM(N94:W94)</f>
        <v>0</v>
      </c>
      <c r="H94">
        <v>3975.02</v>
      </c>
      <c r="I94">
        <v>120000</v>
      </c>
      <c r="J94">
        <f>+(3675.4*135000-H94*I94)/H94</f>
        <v>4824.277613697541</v>
      </c>
      <c r="K94">
        <f>+(J94+I94)/1.08*H94*1.08</f>
        <v>496178999.99999994</v>
      </c>
      <c r="L94">
        <f>+(K94-F94)/1.08*28%</f>
        <v>4971711.111111096</v>
      </c>
      <c r="M94">
        <f>+(K94-F94)-(K94-F94)/1.08*28%</f>
        <v>14204888.888888843</v>
      </c>
      <c r="U94">
        <f>500000000-172049900+168228900</f>
        <v>496179000</v>
      </c>
    </row>
    <row r="95">
      <c r="C95" t="str">
        <v>HD20</v>
      </c>
      <c r="D95" t="str">
        <v>VG05</v>
      </c>
      <c r="E95" t="str">
        <v>Cát Vĩnh Xương - Đà Nẵng</v>
      </c>
      <c r="F95">
        <f>+H95*I95</f>
        <v>475318800</v>
      </c>
      <c r="G95">
        <f>+K95-SUM(N95:W95)</f>
        <v>0</v>
      </c>
      <c r="H95">
        <v>3960.99</v>
      </c>
      <c r="I95">
        <v>120000</v>
      </c>
      <c r="J95">
        <v>15000</v>
      </c>
      <c r="K95">
        <f>+(J95+I95)/1.08*H95*1.08</f>
        <v>534733650</v>
      </c>
      <c r="L95">
        <f>+(K95-F95)/1.08*28%</f>
        <v>15403850.000000002</v>
      </c>
      <c r="M95">
        <f>+(K95-F95)-(K95-F95)/1.08*28%</f>
        <v>44011000</v>
      </c>
      <c r="U95">
        <v>534733650</v>
      </c>
    </row>
    <row r="96">
      <c r="C96" t="str">
        <v>HD26</v>
      </c>
      <c r="D96" t="str">
        <v>VG09</v>
      </c>
      <c r="E96" t="str">
        <v>Cát Vĩnh Xương - Đà Nẵng</v>
      </c>
      <c r="F96">
        <f>+H96*I96</f>
        <v>552586800</v>
      </c>
      <c r="G96">
        <f>+K96-SUM(N96:W96)</f>
        <v>0</v>
      </c>
      <c r="H96">
        <v>4604.89</v>
      </c>
      <c r="I96">
        <v>120000</v>
      </c>
      <c r="J96">
        <v>20000</v>
      </c>
      <c r="K96">
        <f>+(J96+I96)/1.08*H96*1.08</f>
        <v>644684600</v>
      </c>
      <c r="L96">
        <f>+(K96-F96)/1.08*28%</f>
        <v>23877207.407407407</v>
      </c>
      <c r="M96">
        <f>+(K96-F96)-(K96-F96)/1.08*28%</f>
        <v>68220592.5925926</v>
      </c>
      <c r="U96">
        <f>1000000000-534733650-168228900</f>
        <v>297037450</v>
      </c>
      <c r="V96">
        <v>347647150</v>
      </c>
    </row>
    <row r="97">
      <c r="C97" t="str">
        <v>HD27</v>
      </c>
      <c r="D97" t="str">
        <v>VG15</v>
      </c>
      <c r="E97" t="str">
        <v>Cát Vĩnh Xương - Đà Nẵng</v>
      </c>
      <c r="F97">
        <f>+H97*I97</f>
        <v>562310400</v>
      </c>
      <c r="G97">
        <f>+K97-SUM(N97:W97)</f>
        <v>0</v>
      </c>
      <c r="H97">
        <v>4685.92</v>
      </c>
      <c r="I97">
        <v>120000</v>
      </c>
      <c r="J97">
        <v>20000</v>
      </c>
      <c r="K97">
        <f>+(J97+I97)/1.08*H97*1.08</f>
        <v>656028800</v>
      </c>
      <c r="L97">
        <f>+(K97-F97)/1.08*28%</f>
        <v>24297362.962962963</v>
      </c>
      <c r="M97">
        <f>+(K97-F97)-(K97-F97)/1.08*28%</f>
        <v>69421037.03703704</v>
      </c>
      <c r="V97">
        <v>656028800</v>
      </c>
    </row>
    <row r="98">
      <c r="C98" t="str">
        <v>HD36</v>
      </c>
      <c r="D98" t="str">
        <v>VG09</v>
      </c>
      <c r="E98" t="str">
        <v>Cát Vĩnh Xương - Đà Nẵng</v>
      </c>
      <c r="F98">
        <f>+H98*I98</f>
        <v>688378499.9999999</v>
      </c>
      <c r="G98">
        <f>+K98-SUM(N98:W98)</f>
        <v>780162299.9999999</v>
      </c>
      <c r="H98">
        <v>4589.19</v>
      </c>
      <c r="I98">
        <v>150000</v>
      </c>
      <c r="J98">
        <v>20000</v>
      </c>
      <c r="K98">
        <f>+(J98+I98)/1.08*H98*1.08</f>
        <v>780162299.9999999</v>
      </c>
      <c r="L98">
        <f>+(K98-F98)/1.08*28%</f>
        <v>23795800.000000004</v>
      </c>
      <c r="M98">
        <f>+(K98-F98)-(K98-F98)/1.08*28%</f>
        <v>67988000</v>
      </c>
    </row>
    <row r="99">
      <c r="C99" t="str">
        <v>HD39</v>
      </c>
      <c r="D99" t="str">
        <v>VG18</v>
      </c>
      <c r="E99" t="str">
        <v>Than Quảng Ninh - Hòn La</v>
      </c>
      <c r="F99">
        <f>+H99*I99</f>
        <v>836162200</v>
      </c>
      <c r="G99">
        <f>+K99-SUM(N99:W99)</f>
        <v>836162200.0000001</v>
      </c>
      <c r="H99">
        <v>7814.6</v>
      </c>
      <c r="I99">
        <v>107000</v>
      </c>
      <c r="J99">
        <v>0</v>
      </c>
      <c r="K99">
        <f>+(J99+I99)/1.08*H99*1.08</f>
        <v>836162200.0000001</v>
      </c>
      <c r="L99">
        <f>+(K99-F99)/1.08*28%</f>
        <v>3.09061121057581e-8</v>
      </c>
      <c r="M99">
        <f>+(K99-F99)-(K99-F99)/1.08*28%</f>
        <v>8.830317744502314e-8</v>
      </c>
    </row>
    <row r="100">
      <c r="C100" t="str">
        <v>HD40</v>
      </c>
      <c r="D100" t="str">
        <v>VG15</v>
      </c>
      <c r="E100" t="str">
        <v>Cát Vĩnh Xương - Đà Nẵng</v>
      </c>
      <c r="F100">
        <f>+H100*I100</f>
        <v>679075600</v>
      </c>
      <c r="G100">
        <f>+K100-SUM(N100:W100)</f>
        <v>679075600</v>
      </c>
      <c r="H100">
        <v>4683.28</v>
      </c>
      <c r="I100">
        <v>145000</v>
      </c>
      <c r="J100">
        <v>0</v>
      </c>
      <c r="K100">
        <f>+(J100+I100)/1.08*H100*1.08</f>
        <v>679075600</v>
      </c>
      <c r="L100">
        <f>+(K100-F100)/1.08*28%</f>
        <v>0</v>
      </c>
      <c r="M100">
        <f>+(K100-F100)-(K100-F100)/1.08*28%</f>
        <v>0</v>
      </c>
    </row>
    <row r="101">
      <c r="C101" t="str">
        <v>HD41</v>
      </c>
      <c r="D101" t="str">
        <v>VG05</v>
      </c>
      <c r="E101" t="str">
        <v>Cát Vĩnh Xương - Đà Nẵng</v>
      </c>
      <c r="F101">
        <f>+H101*I101</f>
        <v>617121650</v>
      </c>
      <c r="G101">
        <f>+K101-SUM(N101:W101)</f>
        <v>617121649.9999999</v>
      </c>
      <c r="H101">
        <v>3981.43</v>
      </c>
      <c r="I101">
        <v>155000</v>
      </c>
      <c r="J101">
        <v>0</v>
      </c>
      <c r="K101">
        <f>+(J101+I101)/1.08*H101*1.08</f>
        <v>617121649.9999999</v>
      </c>
      <c r="L101">
        <f>+(K101-F101)/1.08*28%</f>
        <v>-3.09061121057581e-8</v>
      </c>
      <c r="M101">
        <f>+(K101-F101)-(K101-F101)/1.08*28%</f>
        <v>-8.830317744502314e-8</v>
      </c>
    </row>
    <row r="102">
      <c r="C102" t="str">
        <v>HD49</v>
      </c>
      <c r="D102" t="str">
        <v>VG15</v>
      </c>
      <c r="E102" t="str">
        <v>Cát Vĩnh Xương - Đà Nẵng</v>
      </c>
      <c r="F102">
        <f>+H102*I102</f>
        <v>612699100</v>
      </c>
      <c r="G102">
        <f>+K102-SUM(N102:W102)</f>
        <v>612699100</v>
      </c>
      <c r="H102">
        <v>4713.07</v>
      </c>
      <c r="I102">
        <v>130000</v>
      </c>
      <c r="J102">
        <v>0</v>
      </c>
      <c r="K102">
        <f>+(J102+I102)/1.08*H102*1.08</f>
        <v>612699100</v>
      </c>
      <c r="L102">
        <f>+(K102-F102)/1.08*28%</f>
        <v>0</v>
      </c>
      <c r="M102">
        <f>+(K102-F102)-(K102-F102)/1.08*28%</f>
        <v>0</v>
      </c>
    </row>
    <row r="103">
      <c r="C103" t="str">
        <v>HD52</v>
      </c>
      <c r="D103" t="str">
        <v>VG36</v>
      </c>
      <c r="E103" t="str">
        <v>Cát Vĩnh Xương - Đà Nẵng</v>
      </c>
      <c r="F103">
        <f>+H103*I103</f>
        <v>586891250</v>
      </c>
      <c r="G103">
        <f>+K103-SUM(N103:W103)</f>
        <v>586891250</v>
      </c>
      <c r="H103">
        <v>4695.13</v>
      </c>
      <c r="I103">
        <v>125000</v>
      </c>
      <c r="J103">
        <v>0</v>
      </c>
      <c r="K103">
        <f>+(J103+I103)/1.08*H103*1.08</f>
        <v>586891250</v>
      </c>
      <c r="L103">
        <f>+(K103-F103)/1.08*28%</f>
        <v>0</v>
      </c>
      <c r="M103">
        <f>+(K103-F103)-(K103-F103)/1.08*28%</f>
        <v>0</v>
      </c>
    </row>
    <row r="104">
      <c r="G104">
        <f>+K104-SUM(N104:W104)</f>
        <v>0</v>
      </c>
    </row>
    <row r="105">
      <c r="F105">
        <f>+H105*I105</f>
        <v>0</v>
      </c>
      <c r="G105">
        <f>+K105-SUM(N105:R105)</f>
        <v>0</v>
      </c>
      <c r="K105">
        <f>+(J105+I105)/1.08*H105*1.08</f>
        <v>0</v>
      </c>
      <c r="L105">
        <f>+(K105-F105)/1.08*15%</f>
        <v>0</v>
      </c>
      <c r="M105">
        <f>+(K105-F105)-(K105-F105)/1.08*13%</f>
        <v>0</v>
      </c>
      <c r="W105" t="str">
        <v>-</v>
      </c>
    </row>
    <row r="106">
      <c r="A106">
        <v>3</v>
      </c>
      <c r="C106" t="str">
        <v>Công Nợ Công ty Sông Hậu</v>
      </c>
      <c r="F106">
        <f>+SUM(F107)</f>
        <v>652932099.9999999</v>
      </c>
      <c r="G106">
        <f>+SUM(G107)</f>
        <v>0</v>
      </c>
      <c r="H106">
        <f>+SUM(H107)</f>
        <v>0</v>
      </c>
      <c r="I106">
        <f>+SUM(I107)</f>
        <v>0</v>
      </c>
      <c r="J106">
        <f>+SUM(J107)</f>
        <v>0</v>
      </c>
      <c r="K106">
        <f>+SUM(K107)</f>
        <v>0</v>
      </c>
      <c r="L106">
        <f>+SUM(L107)</f>
        <v>0</v>
      </c>
      <c r="M106">
        <f>+SUM(M107)</f>
        <v>0</v>
      </c>
      <c r="N106">
        <f>+SUM(N107)</f>
        <v>300000000</v>
      </c>
      <c r="O106">
        <f>+SUM(O107)</f>
        <v>352932100</v>
      </c>
      <c r="P106">
        <f>+SUM(P107)</f>
        <v>0</v>
      </c>
      <c r="Q106">
        <f>+SUM(Q107)</f>
        <v>0</v>
      </c>
      <c r="W106">
        <f>+SUM(W107)</f>
        <v>0</v>
      </c>
    </row>
    <row r="107">
      <c r="C107" t="str">
        <v>HD68</v>
      </c>
      <c r="F107">
        <v>652932099.9999999</v>
      </c>
      <c r="G107">
        <f>+F107-SUM(H107:Q107)</f>
        <v>0</v>
      </c>
      <c r="N107">
        <v>300000000</v>
      </c>
      <c r="O107">
        <v>352932100</v>
      </c>
      <c r="W107" t="str">
        <v>-</v>
      </c>
    </row>
    <row r="108">
      <c r="G108">
        <f>+F108-SUM(H108:Q108)</f>
        <v>0</v>
      </c>
      <c r="W108" t="str">
        <v>-</v>
      </c>
    </row>
    <row r="109">
      <c r="A109">
        <v>4</v>
      </c>
      <c r="C109" t="str">
        <v>Công Nợ Công ty Bình Minh</v>
      </c>
      <c r="F109">
        <f>+SUM(F110:F113)</f>
        <v>2132075600</v>
      </c>
      <c r="G109">
        <f>+SUM(G110:G114)</f>
        <v>654340000</v>
      </c>
      <c r="N109">
        <f>+SUM(N110:N111)</f>
        <v>0</v>
      </c>
      <c r="O109">
        <f>+SUM(O110:O111)</f>
        <v>0</v>
      </c>
      <c r="P109">
        <f>+SUM(P110:P111)</f>
        <v>0</v>
      </c>
      <c r="Q109">
        <f>+SUM(Q110)</f>
        <v>0</v>
      </c>
      <c r="R109">
        <f>+SUM(R110:R113)</f>
        <v>638072000</v>
      </c>
      <c r="S109">
        <f>+SUM(S110:S113)</f>
        <v>200000000</v>
      </c>
      <c r="T109">
        <f>+SUM(T110:T113)</f>
        <v>457863600</v>
      </c>
      <c r="U109">
        <f>+SUM(U110:U114)</f>
        <v>530000000</v>
      </c>
      <c r="V109">
        <f>+SUM(V110:V113)</f>
        <v>0</v>
      </c>
      <c r="W109">
        <f>+SUM(W110)</f>
        <v>0</v>
      </c>
    </row>
    <row r="110">
      <c r="C110" t="str">
        <v>HD 04 VG 05 Ckinker Chân Mây - Cần Thơ</v>
      </c>
      <c r="D110" t="str">
        <v>HD 04 VG 05 Ckinker Chân Mây - Cần Thơ</v>
      </c>
      <c r="E110" t="str">
        <v>HD 04 VG 05 Ckinker Chân Mây - Cần Thơ</v>
      </c>
      <c r="F110">
        <f>+H110*I110</f>
        <v>638072000</v>
      </c>
      <c r="G110">
        <f>+K110-SUM(N110:R110)</f>
        <v>0</v>
      </c>
      <c r="H110">
        <v>3987.95</v>
      </c>
      <c r="I110">
        <v>160000</v>
      </c>
      <c r="J110">
        <v>0</v>
      </c>
      <c r="K110">
        <f>+(J110+I110)/1.08*H110*1.08</f>
        <v>638072000</v>
      </c>
      <c r="L110">
        <f>+(K110-F110)/1.08*15%</f>
        <v>0</v>
      </c>
      <c r="M110">
        <f>+(K110-F110)-(K110-F110)/1.08*15%</f>
        <v>0</v>
      </c>
      <c r="R110">
        <f>300000000+338072000</f>
        <v>638072000</v>
      </c>
      <c r="W110" t="str">
        <v>-</v>
      </c>
    </row>
    <row r="111">
      <c r="C111" t="str">
        <v>HD18</v>
      </c>
      <c r="D111" t="str">
        <v>VG15</v>
      </c>
      <c r="E111" t="str">
        <v>Quặng Vĩnh Xương - HP</v>
      </c>
      <c r="F111">
        <f>+H111*I111</f>
        <v>675363600</v>
      </c>
      <c r="G111">
        <f>+K111-SUM(N111:T111)</f>
        <v>0</v>
      </c>
      <c r="H111">
        <v>4657.68</v>
      </c>
      <c r="I111">
        <v>145000</v>
      </c>
      <c r="J111">
        <v>0</v>
      </c>
      <c r="K111">
        <f>+(J111+I111)/1.08*H111*1.08</f>
        <v>675363600</v>
      </c>
      <c r="L111">
        <f>+(K111-F111)/1.08*15%</f>
        <v>0</v>
      </c>
      <c r="M111">
        <f>+(K111-F111)-(K111-F111)/1.08*15%</f>
        <v>0</v>
      </c>
      <c r="S111">
        <v>200000000</v>
      </c>
      <c r="T111">
        <v>475363600</v>
      </c>
    </row>
    <row r="112">
      <c r="C112" t="str">
        <v>Hoàn chi phí Phao 50-50</v>
      </c>
      <c r="T112">
        <v>-17500000</v>
      </c>
    </row>
    <row r="113">
      <c r="C113" t="str">
        <v>HD50</v>
      </c>
      <c r="D113" t="str">
        <v>VG09</v>
      </c>
      <c r="E113" t="str">
        <v>Cát Vĩnh Xương - Huy Văn</v>
      </c>
      <c r="F113">
        <f>+H113*I113</f>
        <v>818640000</v>
      </c>
      <c r="G113">
        <f>+K113-SUM(N113:V113)</f>
        <v>468640000</v>
      </c>
      <c r="H113">
        <v>1</v>
      </c>
      <c r="I113">
        <v>818640000</v>
      </c>
      <c r="J113">
        <v>0</v>
      </c>
      <c r="K113">
        <f>+(J113+I113)/1.08*H113*1.08</f>
        <v>818640000</v>
      </c>
      <c r="L113">
        <f>+(K113-F113)/1.08*15%</f>
        <v>0</v>
      </c>
      <c r="M113">
        <f>+(K113-F113)-(K113-F113)/1.08*15%</f>
        <v>0</v>
      </c>
      <c r="U113">
        <f>50000000+300000000</f>
        <v>350000000</v>
      </c>
    </row>
    <row r="114">
      <c r="D114" t="str">
        <v>VG05</v>
      </c>
      <c r="E114" t="str">
        <v>Than Quảng Ninh - Hòn La</v>
      </c>
      <c r="F114">
        <f>+H114*I114</f>
        <v>365700000</v>
      </c>
      <c r="G114">
        <f>+K114-SUM(N114:V114)</f>
        <v>185700000</v>
      </c>
      <c r="H114">
        <v>3657</v>
      </c>
      <c r="I114">
        <v>100000</v>
      </c>
      <c r="J114">
        <v>0</v>
      </c>
      <c r="K114">
        <f>+(J114+I114)/1.08*H114*1.08</f>
        <v>365700000</v>
      </c>
      <c r="L114">
        <f>+(K114-F114)/1.08*15%</f>
        <v>0</v>
      </c>
      <c r="M114">
        <f>+(K114-F114)-(K114-F114)/1.08*15%</f>
        <v>0</v>
      </c>
      <c r="U114">
        <v>180000000</v>
      </c>
    </row>
    <row r="115">
      <c r="A115">
        <v>5</v>
      </c>
      <c r="C115" t="str">
        <v>Công Nợ Công ty Việt Anh</v>
      </c>
      <c r="F115">
        <f>+SUM(F116:F117)</f>
        <v>458249240</v>
      </c>
      <c r="R115">
        <f>+SUM(R116)</f>
        <v>50000000</v>
      </c>
      <c r="S115">
        <f>+SUM(S116)</f>
        <v>408249240</v>
      </c>
      <c r="T115">
        <f>+SUM(T116)</f>
        <v>0</v>
      </c>
      <c r="U115">
        <f>+SUM(U116)</f>
        <v>0</v>
      </c>
      <c r="V115">
        <f>+SUM(V116)</f>
        <v>0</v>
      </c>
    </row>
    <row r="116">
      <c r="C116" t="str">
        <v>HD16</v>
      </c>
      <c r="D116" t="str">
        <v>VG18</v>
      </c>
      <c r="E116" t="str">
        <v>Phú Mỹ - Nam Vân Phong</v>
      </c>
      <c r="F116">
        <f>+H116*I116</f>
        <v>458249240</v>
      </c>
      <c r="G116">
        <f>+K116-SUM(N116:S116)</f>
        <v>0</v>
      </c>
      <c r="H116">
        <v>4980.97</v>
      </c>
      <c r="I116">
        <v>92000</v>
      </c>
      <c r="J116">
        <v>0</v>
      </c>
      <c r="K116">
        <f>+(J116+I116)/1.08*H116*1.08</f>
        <v>458249240.00000006</v>
      </c>
      <c r="L116">
        <f>+(K116-F116)/1.08*13%</f>
        <v>7.17463316740813e-9</v>
      </c>
      <c r="M116">
        <f>+(K116-F116)-(K116-F116)/1.08*13%</f>
        <v>5.2430011607982495e-8</v>
      </c>
      <c r="R116">
        <v>50000000</v>
      </c>
      <c r="S116">
        <v>408249240</v>
      </c>
    </row>
    <row r="118">
      <c r="A118">
        <v>6</v>
      </c>
      <c r="C118" t="str">
        <v>Công Nợ Công ty Hằng Phát</v>
      </c>
      <c r="F118">
        <f>+SUM(F119:F120)</f>
        <v>1662200000</v>
      </c>
      <c r="G118">
        <f>+SUM(G119:M120)</f>
        <v>0</v>
      </c>
      <c r="H118">
        <f>+SUM(H119)</f>
        <v>0</v>
      </c>
      <c r="I118">
        <f>+SUM(I119)</f>
        <v>0</v>
      </c>
      <c r="J118">
        <f>+SUM(J119)</f>
        <v>0</v>
      </c>
      <c r="K118">
        <f>+SUM(K119)</f>
        <v>0</v>
      </c>
      <c r="L118">
        <f>+SUM(L119)</f>
        <v>0</v>
      </c>
      <c r="M118">
        <f>+SUM(M119)</f>
        <v>0</v>
      </c>
      <c r="N118">
        <f>+SUM(N119:N120)</f>
        <v>800000000</v>
      </c>
      <c r="O118">
        <f>+SUM(O119:O120)</f>
        <v>0</v>
      </c>
      <c r="P118">
        <f>+SUM(P119:P120)</f>
        <v>862200000</v>
      </c>
      <c r="Q118">
        <f>+SUM(Q119)</f>
        <v>0</v>
      </c>
      <c r="W118">
        <f>+SUM(W119)</f>
        <v>0</v>
      </c>
    </row>
    <row r="119">
      <c r="C119" t="str">
        <v>HD70</v>
      </c>
      <c r="F119">
        <v>1840000000</v>
      </c>
      <c r="G119">
        <f>+F119-SUM(H119:Q119)</f>
        <v>360000000</v>
      </c>
      <c r="N119">
        <v>800000000</v>
      </c>
      <c r="P119">
        <f>490000000+190000000</f>
        <v>680000000</v>
      </c>
      <c r="W119" t="str">
        <v>-</v>
      </c>
    </row>
    <row r="120">
      <c r="C120" t="str">
        <v>Tiền gửi giá</v>
      </c>
      <c r="F120">
        <v>-177800000</v>
      </c>
      <c r="G120">
        <f>+F120-SUM(H120:Q120)</f>
        <v>-360000000</v>
      </c>
      <c r="P120">
        <f>360000000-177800000</f>
        <v>182200000</v>
      </c>
      <c r="W120" t="str">
        <v>-</v>
      </c>
    </row>
    <row r="121">
      <c r="A121">
        <v>7</v>
      </c>
      <c r="C121" t="str">
        <v>Công Nợ Công ty Thái  Bình Dương</v>
      </c>
      <c r="F121">
        <f>+SUM(F122:F124)</f>
        <v>1460129481</v>
      </c>
      <c r="G121">
        <f>+SUM(G122:G124)</f>
        <v>0</v>
      </c>
      <c r="H121">
        <f>+SUM(H122)</f>
        <v>0</v>
      </c>
      <c r="I121">
        <f>+SUM(I122)</f>
        <v>0</v>
      </c>
      <c r="J121">
        <f>+SUM(J122)</f>
        <v>0</v>
      </c>
      <c r="K121">
        <f>+SUM(K122)</f>
        <v>0</v>
      </c>
      <c r="L121">
        <f>+SUM(L122)</f>
        <v>0</v>
      </c>
      <c r="M121">
        <f>+SUM(M122)</f>
        <v>0</v>
      </c>
      <c r="N121">
        <f>+SUM(N122:N123)</f>
        <v>0</v>
      </c>
      <c r="O121">
        <f>+SUM(O122:O123)</f>
        <v>0</v>
      </c>
      <c r="P121">
        <f>+SUM(P122:P123)</f>
        <v>250000000</v>
      </c>
      <c r="Q121">
        <f>+SUM(Q122:Q123)</f>
        <v>390211481</v>
      </c>
      <c r="T121">
        <f>+SUM(T122:T124)</f>
        <v>400000000</v>
      </c>
      <c r="U121">
        <f>+SUM(U122:U124)</f>
        <v>467913200</v>
      </c>
      <c r="V121">
        <f>+SUM(V122:V124)</f>
        <v>0</v>
      </c>
      <c r="W121">
        <f>+SUM(W122)</f>
        <v>0</v>
      </c>
    </row>
    <row r="122">
      <c r="C122" t="str">
        <v>HD91</v>
      </c>
      <c r="D122" t="str">
        <v>VG18</v>
      </c>
      <c r="E122" t="str">
        <v>Than Quảng Ninh - Nghi Thiết</v>
      </c>
      <c r="F122">
        <v>640211481</v>
      </c>
      <c r="G122">
        <f>+F122-SUM(H122:Q122)-Q123</f>
        <v>0</v>
      </c>
      <c r="P122">
        <v>250000000</v>
      </c>
      <c r="Q122">
        <v>154211481</v>
      </c>
      <c r="W122" t="str">
        <v>-</v>
      </c>
    </row>
    <row r="123">
      <c r="Q123">
        <v>236000000</v>
      </c>
      <c r="W123" t="str">
        <v>-</v>
      </c>
    </row>
    <row r="124">
      <c r="C124" t="str">
        <v>HD25</v>
      </c>
      <c r="D124" t="str">
        <v>VG05</v>
      </c>
      <c r="E124" t="str">
        <v>Clinker Hòn La  - Cần Thơ</v>
      </c>
      <c r="F124">
        <f>+H124*I124</f>
        <v>819918000</v>
      </c>
      <c r="G124">
        <f>+K124-SUM(N124:W124)</f>
        <v>0</v>
      </c>
      <c r="H124">
        <v>3999.6</v>
      </c>
      <c r="I124">
        <v>205000</v>
      </c>
      <c r="J124">
        <v>12000</v>
      </c>
      <c r="K124">
        <f>+(J124+I124)/1.08*H124*1.08</f>
        <v>867913200.0000001</v>
      </c>
      <c r="L124">
        <f>+(K124-F124)/1.08*20%</f>
        <v>8888000.00000002</v>
      </c>
      <c r="M124">
        <f>+(K124-F124)-(K124-F124)/1.08*20%</f>
        <v>39107200.0000001</v>
      </c>
      <c r="T124">
        <v>400000000</v>
      </c>
      <c r="U124">
        <f>200000000+267913200</f>
        <v>467913200</v>
      </c>
    </row>
  </sheetData>
  <mergeCells count="2">
    <mergeCell ref="A1:W1"/>
    <mergeCell ref="A5:W5"/>
  </mergeCells>
  <pageMargins left="0.7" right="0.7" top="0.75" bottom="0.75" header="0.3" footer="0.3"/>
  <ignoredErrors>
    <ignoredError numberStoredAsText="1" sqref="A1:W105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BC DONG TIEN</vt:lpstr>
      <vt:lpstr>THU-CHI</vt:lpstr>
      <vt:lpstr>Tau</vt:lpstr>
      <vt:lpstr>Tong Hop</vt:lpstr>
      <vt:lpstr>Phân bổ vay ngan han</vt:lpstr>
      <vt:lpstr>Sheet2</vt:lpstr>
      <vt:lpstr>THEO DOI CONG NO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2025-09-22T08:19:12Z</dcterms:created>
  <dcterms:modified xsi:type="dcterms:W3CDTF">2026-05-15T14:14:05Z</dcterms:modified>
  <cp:lastModifiedBy>Administrator</cp:lastModifiedBy>
  <cp:lastPrinted>2026-04-09T05:34:42Z</cp:lastPrinted>
  <dc:creator>Administrator</dc:creator>
</cp:coreProperties>
</file>