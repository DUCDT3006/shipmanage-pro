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VU GIA TAM\1.TAI CHINH\Antigravity\ShipManage\"/>
    </mc:Choice>
  </mc:AlternateContent>
  <xr:revisionPtr revIDLastSave="0" documentId="13_ncr:1_{3B98CC3A-A0A0-443A-A76C-49640B0263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 lieu khai thac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9" l="1"/>
  <c r="D51" i="19"/>
  <c r="D62" i="19"/>
  <c r="D61" i="19"/>
  <c r="D50" i="19"/>
  <c r="I49" i="19"/>
  <c r="D49" i="19"/>
  <c r="D38" i="19"/>
  <c r="D37" i="19"/>
  <c r="D26" i="19"/>
  <c r="D15" i="19"/>
  <c r="D14" i="19"/>
  <c r="D13" i="19"/>
  <c r="M61" i="19" l="1"/>
  <c r="M13" i="19"/>
  <c r="D48" i="19" l="1"/>
  <c r="D60" i="19" l="1"/>
  <c r="D36" i="19"/>
  <c r="D25" i="19"/>
  <c r="D12" i="19"/>
  <c r="D24" i="19"/>
  <c r="D59" i="19" l="1"/>
  <c r="D11" i="19" l="1"/>
  <c r="D47" i="19"/>
  <c r="D10" i="19" l="1"/>
  <c r="D9" i="19"/>
  <c r="D8" i="19"/>
  <c r="D7" i="19"/>
  <c r="D6" i="19"/>
  <c r="D5" i="19"/>
  <c r="D23" i="19"/>
  <c r="D22" i="19"/>
  <c r="D21" i="19"/>
  <c r="D20" i="19"/>
  <c r="D19" i="19"/>
  <c r="D35" i="19"/>
  <c r="D34" i="19"/>
  <c r="D33" i="19"/>
  <c r="D32" i="19"/>
  <c r="D31" i="19"/>
  <c r="D30" i="19"/>
  <c r="D46" i="19"/>
  <c r="D45" i="19"/>
  <c r="D44" i="19"/>
  <c r="D43" i="19"/>
  <c r="D42" i="19"/>
  <c r="D41" i="19"/>
  <c r="D58" i="19"/>
  <c r="D57" i="19"/>
  <c r="D56" i="19"/>
  <c r="D55" i="19"/>
  <c r="T42" i="19"/>
  <c r="O42" i="19"/>
  <c r="P32" i="19"/>
  <c r="M33" i="19"/>
  <c r="O21" i="19"/>
  <c r="N56" i="19" l="1"/>
  <c r="M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4" authorId="0" shapeId="0" xr:uid="{93FADC6A-9C07-4BC8-B471-7763979560B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
</t>
        </r>
      </text>
    </comment>
    <comment ref="N5" authorId="0" shapeId="0" xr:uid="{7C63DD2D-4773-4329-AEBB-66460B89D3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6" authorId="0" shapeId="0" xr:uid="{E4B4CCF6-607F-4280-A736-470A529DF95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7" authorId="0" shapeId="0" xr:uid="{A4993FE6-1AAC-4A96-B184-449708C735B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7" authorId="0" shapeId="0" xr:uid="{1E8B58AB-2868-41F0-A717-DFDCB18757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8" authorId="0" shapeId="0" xr:uid="{BCF3EDB5-38F4-49CE-A85E-0F7406FB28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9" authorId="0" shapeId="0" xr:uid="{A7074997-B2A6-4187-9527-B24F9446289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9" authorId="0" shapeId="0" xr:uid="{004BC13F-3575-41B0-8D10-A2E04F684A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Hâu
'</t>
        </r>
      </text>
    </comment>
    <comment ref="M10" authorId="0" shapeId="0" xr:uid="{F06C3286-576A-4D6D-99D1-FBD419A326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18" authorId="0" shapeId="0" xr:uid="{4BC4C978-D2BF-45C8-938A-9BCB02048A4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19" authorId="0" shapeId="0" xr:uid="{7BD819A8-1C13-4131-B6EF-832F4B9030E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19" authorId="0" shapeId="0" xr:uid="{3C0606A7-8F18-440E-92FD-A058A38BB35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M20" authorId="0" shapeId="0" xr:uid="{1C243604-41EC-4205-8683-A11494257C8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Urgen sea</t>
        </r>
      </text>
    </comment>
    <comment ref="M21" authorId="0" shapeId="0" xr:uid="{ACD95232-2298-4A56-B72C-F3D9A91CD2F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21" authorId="0" shapeId="0" xr:uid="{256FE94E-74E6-4B1B-9437-2E67BE3EDCB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22" authorId="0" shapeId="0" xr:uid="{4A5F142A-0ABF-42F6-9103-1D312A9D01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23" authorId="0" shapeId="0" xr:uid="{29DA4961-08A0-4B91-A88E-18375EACE16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23" authorId="0" shapeId="0" xr:uid="{4D526ADE-FDE8-4C63-B6BA-35384DDB225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Hâuuj</t>
        </r>
      </text>
    </comment>
    <comment ref="M24" authorId="0" shapeId="0" xr:uid="{397D9EDD-8E3F-4038-B819-9D2018C746E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Hâuuj</t>
        </r>
      </text>
    </comment>
    <comment ref="M29" authorId="0" shapeId="0" xr:uid="{E2D864B7-ED62-4F9F-954E-5D364CF94EB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Phạm</t>
        </r>
      </text>
    </comment>
    <comment ref="N29" authorId="0" shapeId="0" xr:uid="{20E370E3-3A60-4C0F-A261-25140F564A4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30" authorId="0" shapeId="0" xr:uid="{D2D4C2AA-E60E-4DA8-8E3C-E3D26B2A57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31" authorId="0" shapeId="0" xr:uid="{46628B49-8468-43DA-AC64-8E6FAE9386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31" authorId="0" shapeId="0" xr:uid="{98CDA16B-1DE2-436B-8BF1-259920D2705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32" authorId="0" shapeId="0" xr:uid="{40A2208C-C961-4FEB-BA81-170922B29CF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N32" authorId="0" shapeId="0" xr:uid="{03D6F971-3C48-4535-B484-41339B7AED7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QT Xanh</t>
        </r>
      </text>
    </comment>
    <comment ref="M33" authorId="0" shapeId="0" xr:uid="{46A6817D-EB0B-42A6-A949-1F67D7786FE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33" authorId="0" shapeId="0" xr:uid="{87B99CF0-C458-47B1-8091-97F85B56F78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34" authorId="0" shapeId="0" xr:uid="{7F51087C-4E57-4A1B-99B5-6618E8549DD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N35" authorId="0" shapeId="0" xr:uid="{47F8C55D-864A-483F-9CE5-4D7840BEAA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36" authorId="0" shapeId="0" xr:uid="{EC8D4910-6F5C-4983-AE80-00BFB18D119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
</t>
        </r>
      </text>
    </comment>
    <comment ref="M40" authorId="0" shapeId="0" xr:uid="{12F93CD9-D57F-4B6B-AEF7-E3AE1BCF4A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PHAM
</t>
        </r>
      </text>
    </comment>
    <comment ref="N40" authorId="0" shapeId="0" xr:uid="{A9EAF117-2418-49D9-9704-2C76A2FA209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M41" authorId="0" shapeId="0" xr:uid="{14F24C8D-9DA2-485C-A569-74BC60B6B3B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N42" authorId="0" shapeId="0" xr:uid="{B0A3CA60-00B8-4C0B-897D-4F5A2276BE2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43" authorId="0" shapeId="0" xr:uid="{F9A51233-88BE-46E9-BCA7-0892590509C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M44" authorId="0" shapeId="0" xr:uid="{845CD7D9-B172-438A-9CF5-E77C079701C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44" authorId="0" shapeId="0" xr:uid="{C1921870-FBDF-45E8-8120-0D9CD65426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45" authorId="0" shapeId="0" xr:uid="{BC276C00-33B0-4D80-8FD7-D4728AD06EA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M47" authorId="0" shapeId="0" xr:uid="{E7F1F949-FFB4-4076-9FC9-EE97E9A5B6B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M54" authorId="0" shapeId="0" xr:uid="{E3E2005C-BC5C-4B88-AAE3-B61A90CA37A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Agence</t>
        </r>
      </text>
    </comment>
    <comment ref="N55" authorId="0" shapeId="0" xr:uid="{CAD8E3D7-B9F7-4094-A8C8-F84A0BC3BC0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 Shine
</t>
        </r>
      </text>
    </comment>
    <comment ref="M56" authorId="0" shapeId="0" xr:uid="{B500FFC7-1EE0-4CBF-B2CF-D5712A9238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
</t>
        </r>
      </text>
    </comment>
    <comment ref="N56" authorId="0" shapeId="0" xr:uid="{FA19B8A7-0D11-46C5-B47C-01658D9A1B8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Nova</t>
        </r>
      </text>
    </comment>
    <comment ref="N57" authorId="0" shapeId="0" xr:uid="{9F31E0CF-9450-473A-8F2D-46B3A9BDF84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M58" authorId="0" shapeId="0" xr:uid="{E78262D5-4BC4-45FE-8B35-FA189CD0D8D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N58" authorId="0" shapeId="0" xr:uid="{56BD9364-8813-4F21-BC9E-96192A262B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M59" authorId="0" shapeId="0" xr:uid="{7D0283D5-2C66-4CCC-8617-E42C0891E2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</commentList>
</comments>
</file>

<file path=xl/sharedStrings.xml><?xml version="1.0" encoding="utf-8"?>
<sst xmlns="http://schemas.openxmlformats.org/spreadsheetml/2006/main" count="336" uniqueCount="79">
  <si>
    <t>VG09</t>
  </si>
  <si>
    <t>VG36</t>
  </si>
  <si>
    <t>VG05</t>
  </si>
  <si>
    <t>Tên tàu</t>
  </si>
  <si>
    <t>Tên hàng</t>
  </si>
  <si>
    <t>Cảng xếp</t>
  </si>
  <si>
    <t>Cảng dỡ</t>
  </si>
  <si>
    <t>Khối lượng
 tính cước</t>
  </si>
  <si>
    <t>Tiền gửi</t>
  </si>
  <si>
    <t>VG15</t>
  </si>
  <si>
    <t>Ngày
 xếp</t>
  </si>
  <si>
    <t>Chân Mây</t>
  </si>
  <si>
    <t>Hòn La</t>
  </si>
  <si>
    <t>HCM</t>
  </si>
  <si>
    <t>Xỉ</t>
  </si>
  <si>
    <t>Sơn Dương</t>
  </si>
  <si>
    <t>Gỗ</t>
  </si>
  <si>
    <t>Hải Phòng</t>
  </si>
  <si>
    <t>Clinker</t>
  </si>
  <si>
    <t>Hậu Giang</t>
  </si>
  <si>
    <t>Vĩnh Xương</t>
  </si>
  <si>
    <t>Cát</t>
  </si>
  <si>
    <t>Cửa Lò</t>
  </si>
  <si>
    <t>Đà Nẵng</t>
  </si>
  <si>
    <t>Cần Thơ</t>
  </si>
  <si>
    <t>Ngày dỡ</t>
  </si>
  <si>
    <t>Đại lý cảng xếp</t>
  </si>
  <si>
    <t>Đại lý cảng dỡ</t>
  </si>
  <si>
    <t>Tàu chi cảng xếp</t>
  </si>
  <si>
    <t>Tàu chi cảng dỡ</t>
  </si>
  <si>
    <t>Hoa Tiêu</t>
  </si>
  <si>
    <t>Tàu lai dắt</t>
  </si>
  <si>
    <t>Tiền Bông</t>
  </si>
  <si>
    <t>Doanh thu</t>
  </si>
  <si>
    <t>Chi phí</t>
  </si>
  <si>
    <t>Chuyến</t>
  </si>
  <si>
    <t>Phí cầu bến</t>
  </si>
  <si>
    <t>VG18</t>
  </si>
  <si>
    <t>Than</t>
  </si>
  <si>
    <t>KẾT QUẢ KINH DOANH KHAI THÁC</t>
  </si>
  <si>
    <t>Quảng Ninh</t>
  </si>
  <si>
    <t>Nghi Sơn</t>
  </si>
  <si>
    <t>Vĩnh Tân</t>
  </si>
  <si>
    <t>C1</t>
  </si>
  <si>
    <t>C2</t>
  </si>
  <si>
    <t>Thực tế (Đơn giá
đã có VAT )</t>
  </si>
  <si>
    <t>C3</t>
  </si>
  <si>
    <t>C4</t>
  </si>
  <si>
    <t>Quặng</t>
  </si>
  <si>
    <t xml:space="preserve">Xỉ </t>
  </si>
  <si>
    <t>Tro ẩm</t>
  </si>
  <si>
    <t>Hiệp Phước</t>
  </si>
  <si>
    <t>Nam Vân Phong</t>
  </si>
  <si>
    <t>C5</t>
  </si>
  <si>
    <t>Đường</t>
  </si>
  <si>
    <t>Phú Mỹ</t>
  </si>
  <si>
    <t>Việt Anh</t>
  </si>
  <si>
    <t>Vật Cách</t>
  </si>
  <si>
    <t>C6</t>
  </si>
  <si>
    <t xml:space="preserve">Quặng </t>
  </si>
  <si>
    <t>Cliker</t>
  </si>
  <si>
    <t>C7</t>
  </si>
  <si>
    <t>XM Tây Đô</t>
  </si>
  <si>
    <t>Clkiner</t>
  </si>
  <si>
    <t>C8</t>
  </si>
  <si>
    <t>Gò Da</t>
  </si>
  <si>
    <t>Gò Dầu</t>
  </si>
  <si>
    <t>Tôn Cuộn</t>
  </si>
  <si>
    <t>C9</t>
  </si>
  <si>
    <t>C10</t>
  </si>
  <si>
    <t>C11</t>
  </si>
  <si>
    <t>C12</t>
  </si>
  <si>
    <t>Huy Văn</t>
  </si>
  <si>
    <t>Mã Chuyến</t>
  </si>
  <si>
    <t>Ngoc Anh</t>
  </si>
  <si>
    <t>Hoang Quyen</t>
  </si>
  <si>
    <t>Binh Minh</t>
  </si>
  <si>
    <t>Thai Binh Duong</t>
  </si>
  <si>
    <t>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</si>
</sst>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&quot;HD&quot;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theme="4" tint="0.59999389629810485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59999389629810485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theme="4" tint="0.59999389629810485"/>
      </patternFill>
    </fill>
    <fill>
      <patternFill patternType="solid">
        <fgColor theme="3" tint="0.59999389629810485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/>
    <xf numFmtId="164" fontId="2" fillId="2" borderId="4" xfId="1" applyNumberFormat="1" applyFont="1" applyFill="1" applyBorder="1"/>
    <xf numFmtId="0" fontId="4" fillId="2" borderId="4" xfId="0" applyFont="1" applyFill="1" applyBorder="1"/>
    <xf numFmtId="0" fontId="2" fillId="2" borderId="0" xfId="0" applyFont="1" applyFill="1"/>
    <xf numFmtId="0" fontId="2" fillId="5" borderId="4" xfId="0" applyFont="1" applyFill="1" applyBorder="1"/>
    <xf numFmtId="0" fontId="2" fillId="5" borderId="4" xfId="0" applyFont="1" applyFill="1" applyBorder="1" applyAlignment="1">
      <alignment horizontal="center"/>
    </xf>
    <xf numFmtId="43" fontId="2" fillId="5" borderId="4" xfId="1" applyFont="1" applyFill="1" applyBorder="1"/>
    <xf numFmtId="164" fontId="2" fillId="5" borderId="4" xfId="1" applyNumberFormat="1" applyFont="1" applyFill="1" applyBorder="1"/>
    <xf numFmtId="164" fontId="2" fillId="5" borderId="4" xfId="0" applyNumberFormat="1" applyFont="1" applyFill="1" applyBorder="1"/>
    <xf numFmtId="0" fontId="2" fillId="6" borderId="4" xfId="0" applyFont="1" applyFill="1" applyBorder="1"/>
    <xf numFmtId="0" fontId="2" fillId="6" borderId="4" xfId="0" applyFont="1" applyFill="1" applyBorder="1" applyAlignment="1">
      <alignment horizontal="center"/>
    </xf>
    <xf numFmtId="43" fontId="2" fillId="6" borderId="4" xfId="1" applyFont="1" applyFill="1" applyBorder="1"/>
    <xf numFmtId="0" fontId="4" fillId="6" borderId="4" xfId="0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4" xfId="0" applyNumberFormat="1" applyFont="1" applyFill="1" applyBorder="1"/>
    <xf numFmtId="165" fontId="2" fillId="6" borderId="4" xfId="1" applyNumberFormat="1" applyFont="1" applyFill="1" applyBorder="1"/>
    <xf numFmtId="0" fontId="4" fillId="6" borderId="4" xfId="0" applyFont="1" applyFill="1" applyBorder="1"/>
    <xf numFmtId="16" fontId="2" fillId="7" borderId="4" xfId="0" applyNumberFormat="1" applyFont="1" applyFill="1" applyBorder="1" applyAlignment="1">
      <alignment horizontal="center"/>
    </xf>
    <xf numFmtId="164" fontId="4" fillId="7" borderId="4" xfId="1" applyNumberFormat="1" applyFont="1" applyFill="1" applyBorder="1"/>
    <xf numFmtId="0" fontId="2" fillId="7" borderId="0" xfId="0" applyFont="1" applyFill="1"/>
    <xf numFmtId="0" fontId="2" fillId="8" borderId="4" xfId="0" applyFont="1" applyFill="1" applyBorder="1"/>
    <xf numFmtId="0" fontId="2" fillId="8" borderId="4" xfId="0" applyFont="1" applyFill="1" applyBorder="1" applyAlignment="1">
      <alignment horizontal="center"/>
    </xf>
    <xf numFmtId="43" fontId="2" fillId="8" borderId="4" xfId="1" applyFont="1" applyFill="1" applyBorder="1"/>
    <xf numFmtId="164" fontId="2" fillId="8" borderId="4" xfId="1" applyNumberFormat="1" applyFont="1" applyFill="1" applyBorder="1"/>
    <xf numFmtId="164" fontId="2" fillId="8" borderId="4" xfId="0" applyNumberFormat="1" applyFont="1" applyFill="1" applyBorder="1"/>
    <xf numFmtId="0" fontId="4" fillId="8" borderId="4" xfId="0" applyFont="1" applyFill="1" applyBorder="1"/>
    <xf numFmtId="0" fontId="2" fillId="9" borderId="4" xfId="0" applyFont="1" applyFill="1" applyBorder="1"/>
    <xf numFmtId="0" fontId="2" fillId="9" borderId="4" xfId="0" applyFont="1" applyFill="1" applyBorder="1" applyAlignment="1">
      <alignment horizontal="center"/>
    </xf>
    <xf numFmtId="43" fontId="2" fillId="9" borderId="4" xfId="1" applyFont="1" applyFill="1" applyBorder="1"/>
    <xf numFmtId="164" fontId="2" fillId="9" borderId="4" xfId="1" applyNumberFormat="1" applyFont="1" applyFill="1" applyBorder="1"/>
    <xf numFmtId="164" fontId="2" fillId="9" borderId="4" xfId="0" applyNumberFormat="1" applyFont="1" applyFill="1" applyBorder="1"/>
    <xf numFmtId="0" fontId="4" fillId="9" borderId="4" xfId="0" applyFont="1" applyFill="1" applyBorder="1"/>
    <xf numFmtId="164" fontId="2" fillId="3" borderId="4" xfId="1" applyNumberFormat="1" applyFont="1" applyFill="1" applyBorder="1"/>
    <xf numFmtId="0" fontId="4" fillId="3" borderId="4" xfId="0" applyFont="1" applyFill="1" applyBorder="1"/>
    <xf numFmtId="0" fontId="2" fillId="3" borderId="0" xfId="0" applyFont="1" applyFill="1"/>
    <xf numFmtId="0" fontId="2" fillId="11" borderId="4" xfId="0" applyFont="1" applyFill="1" applyBorder="1"/>
    <xf numFmtId="0" fontId="2" fillId="11" borderId="4" xfId="0" applyFont="1" applyFill="1" applyBorder="1" applyAlignment="1">
      <alignment horizontal="center"/>
    </xf>
    <xf numFmtId="43" fontId="2" fillId="11" borderId="4" xfId="1" applyFont="1" applyFill="1" applyBorder="1"/>
    <xf numFmtId="166" fontId="2" fillId="11" borderId="4" xfId="1" applyNumberFormat="1" applyFont="1" applyFill="1" applyBorder="1"/>
    <xf numFmtId="164" fontId="2" fillId="11" borderId="4" xfId="1" applyNumberFormat="1" applyFont="1" applyFill="1" applyBorder="1"/>
    <xf numFmtId="164" fontId="2" fillId="11" borderId="4" xfId="0" applyNumberFormat="1" applyFont="1" applyFill="1" applyBorder="1"/>
    <xf numFmtId="164" fontId="4" fillId="11" borderId="4" xfId="1" applyNumberFormat="1" applyFont="1" applyFill="1" applyBorder="1"/>
    <xf numFmtId="0" fontId="4" fillId="11" borderId="4" xfId="0" applyFont="1" applyFill="1" applyBorder="1"/>
    <xf numFmtId="164" fontId="2" fillId="12" borderId="4" xfId="0" applyNumberFormat="1" applyFont="1" applyFill="1" applyBorder="1"/>
    <xf numFmtId="0" fontId="2" fillId="12" borderId="0" xfId="0" applyFont="1" applyFill="1"/>
    <xf numFmtId="164" fontId="2" fillId="13" borderId="4" xfId="0" applyNumberFormat="1" applyFont="1" applyFill="1" applyBorder="1"/>
    <xf numFmtId="0" fontId="2" fillId="14" borderId="4" xfId="0" applyFont="1" applyFill="1" applyBorder="1"/>
    <xf numFmtId="0" fontId="2" fillId="14" borderId="4" xfId="0" applyFont="1" applyFill="1" applyBorder="1" applyAlignment="1">
      <alignment horizontal="center"/>
    </xf>
    <xf numFmtId="43" fontId="2" fillId="14" borderId="4" xfId="1" applyFont="1" applyFill="1" applyBorder="1"/>
    <xf numFmtId="0" fontId="4" fillId="14" borderId="4" xfId="0" applyFont="1" applyFill="1" applyBorder="1" applyAlignment="1">
      <alignment horizontal="center"/>
    </xf>
    <xf numFmtId="164" fontId="2" fillId="14" borderId="4" xfId="1" applyNumberFormat="1" applyFont="1" applyFill="1" applyBorder="1"/>
    <xf numFmtId="164" fontId="2" fillId="14" borderId="4" xfId="0" applyNumberFormat="1" applyFont="1" applyFill="1" applyBorder="1"/>
    <xf numFmtId="0" fontId="4" fillId="14" borderId="4" xfId="0" applyFont="1" applyFill="1" applyBorder="1"/>
    <xf numFmtId="164" fontId="2" fillId="15" borderId="4" xfId="1" applyNumberFormat="1" applyFont="1" applyFill="1" applyBorder="1"/>
    <xf numFmtId="0" fontId="2" fillId="15" borderId="0" xfId="0" applyFont="1" applyFill="1"/>
    <xf numFmtId="164" fontId="2" fillId="16" borderId="4" xfId="0" applyNumberFormat="1" applyFont="1" applyFill="1" applyBorder="1"/>
    <xf numFmtId="0" fontId="2" fillId="17" borderId="4" xfId="0" applyFont="1" applyFill="1" applyBorder="1"/>
    <xf numFmtId="0" fontId="2" fillId="17" borderId="4" xfId="0" applyFont="1" applyFill="1" applyBorder="1" applyAlignment="1">
      <alignment horizontal="center"/>
    </xf>
    <xf numFmtId="43" fontId="2" fillId="17" borderId="4" xfId="1" applyFont="1" applyFill="1" applyBorder="1"/>
    <xf numFmtId="164" fontId="2" fillId="17" borderId="4" xfId="1" applyNumberFormat="1" applyFont="1" applyFill="1" applyBorder="1"/>
    <xf numFmtId="164" fontId="2" fillId="17" borderId="4" xfId="0" applyNumberFormat="1" applyFont="1" applyFill="1" applyBorder="1"/>
    <xf numFmtId="0" fontId="2" fillId="16" borderId="1" xfId="0" applyFont="1" applyFill="1" applyBorder="1"/>
    <xf numFmtId="0" fontId="2" fillId="16" borderId="1" xfId="0" applyFont="1" applyFill="1" applyBorder="1" applyAlignment="1">
      <alignment horizontal="center"/>
    </xf>
    <xf numFmtId="43" fontId="2" fillId="16" borderId="1" xfId="1" applyFont="1" applyFill="1" applyBorder="1"/>
    <xf numFmtId="164" fontId="2" fillId="16" borderId="1" xfId="1" applyNumberFormat="1" applyFont="1" applyFill="1" applyBorder="1"/>
    <xf numFmtId="164" fontId="2" fillId="16" borderId="1" xfId="0" applyNumberFormat="1" applyFont="1" applyFill="1" applyBorder="1"/>
    <xf numFmtId="0" fontId="4" fillId="16" borderId="1" xfId="0" applyFont="1" applyFill="1" applyBorder="1"/>
    <xf numFmtId="16" fontId="2" fillId="11" borderId="4" xfId="0" quotePrefix="1" applyNumberFormat="1" applyFont="1" applyFill="1" applyBorder="1" applyAlignment="1">
      <alignment horizontal="center"/>
    </xf>
    <xf numFmtId="16" fontId="2" fillId="14" borderId="4" xfId="0" quotePrefix="1" applyNumberFormat="1" applyFont="1" applyFill="1" applyBorder="1" applyAlignment="1">
      <alignment horizontal="center"/>
    </xf>
    <xf numFmtId="16" fontId="2" fillId="5" borderId="4" xfId="0" applyNumberFormat="1" applyFont="1" applyFill="1" applyBorder="1" applyAlignment="1">
      <alignment horizontal="center"/>
    </xf>
    <xf numFmtId="16" fontId="4" fillId="5" borderId="4" xfId="0" applyNumberFormat="1" applyFont="1" applyFill="1" applyBorder="1" applyAlignment="1">
      <alignment horizontal="center"/>
    </xf>
    <xf numFmtId="16" fontId="2" fillId="6" borderId="4" xfId="0" applyNumberFormat="1" applyFont="1" applyFill="1" applyBorder="1" applyAlignment="1">
      <alignment horizontal="center"/>
    </xf>
    <xf numFmtId="16" fontId="4" fillId="11" borderId="4" xfId="0" applyNumberFormat="1" applyFont="1" applyFill="1" applyBorder="1" applyAlignment="1">
      <alignment horizontal="center"/>
    </xf>
    <xf numFmtId="16" fontId="4" fillId="11" borderId="4" xfId="0" quotePrefix="1" applyNumberFormat="1" applyFont="1" applyFill="1" applyBorder="1" applyAlignment="1">
      <alignment horizontal="center"/>
    </xf>
    <xf numFmtId="16" fontId="4" fillId="12" borderId="4" xfId="0" applyNumberFormat="1" applyFont="1" applyFill="1" applyBorder="1" applyAlignment="1">
      <alignment horizontal="center"/>
    </xf>
    <xf numFmtId="16" fontId="2" fillId="17" borderId="4" xfId="0" applyNumberFormat="1" applyFont="1" applyFill="1" applyBorder="1" applyAlignment="1">
      <alignment horizontal="center"/>
    </xf>
    <xf numFmtId="16" fontId="4" fillId="17" borderId="4" xfId="0" applyNumberFormat="1" applyFont="1" applyFill="1" applyBorder="1" applyAlignment="1">
      <alignment horizontal="center"/>
    </xf>
    <xf numFmtId="16" fontId="4" fillId="16" borderId="1" xfId="0" quotePrefix="1" applyNumberFormat="1" applyFont="1" applyFill="1" applyBorder="1" applyAlignment="1">
      <alignment horizontal="center"/>
    </xf>
    <xf numFmtId="164" fontId="4" fillId="6" borderId="4" xfId="0" applyNumberFormat="1" applyFont="1" applyFill="1" applyBorder="1"/>
    <xf numFmtId="164" fontId="4" fillId="10" borderId="4" xfId="0" applyNumberFormat="1" applyFont="1" applyFill="1" applyBorder="1"/>
    <xf numFmtId="164" fontId="4" fillId="9" borderId="4" xfId="0" applyNumberFormat="1" applyFont="1" applyFill="1" applyBorder="1"/>
    <xf numFmtId="16" fontId="4" fillId="6" borderId="4" xfId="0" applyNumberFormat="1" applyFont="1" applyFill="1" applyBorder="1" applyAlignment="1">
      <alignment horizontal="center"/>
    </xf>
    <xf numFmtId="16" fontId="2" fillId="16" borderId="1" xfId="0" applyNumberFormat="1" applyFont="1" applyFill="1" applyBorder="1" applyAlignment="1">
      <alignment horizontal="center"/>
    </xf>
    <xf numFmtId="16" fontId="4" fillId="16" borderId="1" xfId="0" applyNumberFormat="1" applyFont="1" applyFill="1" applyBorder="1" applyAlignment="1">
      <alignment horizontal="center"/>
    </xf>
    <xf numFmtId="164" fontId="10" fillId="6" borderId="4" xfId="0" applyNumberFormat="1" applyFont="1" applyFill="1" applyBorder="1"/>
    <xf numFmtId="164" fontId="4" fillId="12" borderId="4" xfId="0" applyNumberFormat="1" applyFont="1" applyFill="1" applyBorder="1"/>
    <xf numFmtId="164" fontId="4" fillId="11" borderId="4" xfId="0" applyNumberFormat="1" applyFont="1" applyFill="1" applyBorder="1"/>
    <xf numFmtId="166" fontId="2" fillId="16" borderId="1" xfId="1" applyNumberFormat="1" applyFont="1" applyFill="1" applyBorder="1"/>
    <xf numFmtId="164" fontId="10" fillId="9" borderId="4" xfId="0" applyNumberFormat="1" applyFont="1" applyFill="1" applyBorder="1"/>
    <xf numFmtId="164" fontId="10" fillId="16" borderId="1" xfId="0" applyNumberFormat="1" applyFont="1" applyFill="1" applyBorder="1"/>
    <xf numFmtId="164" fontId="4" fillId="16" borderId="1" xfId="0" applyNumberFormat="1" applyFont="1" applyFill="1" applyBorder="1"/>
    <xf numFmtId="164" fontId="10" fillId="11" borderId="4" xfId="0" applyNumberFormat="1" applyFont="1" applyFill="1" applyBorder="1"/>
    <xf numFmtId="16" fontId="2" fillId="9" borderId="4" xfId="0" applyNumberFormat="1" applyFont="1" applyFill="1" applyBorder="1"/>
    <xf numFmtId="164" fontId="10" fillId="12" borderId="4" xfId="0" applyNumberFormat="1" applyFont="1" applyFill="1" applyBorder="1"/>
    <xf numFmtId="164" fontId="4" fillId="16" borderId="4" xfId="0" applyNumberFormat="1" applyFont="1" applyFill="1" applyBorder="1"/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167" fontId="5" fillId="4" borderId="5" xfId="1" applyNumberFormat="1" applyFont="1" applyFill="1" applyBorder="1" applyAlignment="1">
      <alignment horizontal="center" vertical="center" wrapText="1"/>
    </xf>
    <xf numFmtId="167" fontId="4" fillId="5" borderId="4" xfId="1" applyNumberFormat="1" applyFont="1" applyFill="1" applyBorder="1" applyAlignment="1">
      <alignment horizontal="center"/>
    </xf>
    <xf numFmtId="167" fontId="4" fillId="6" borderId="4" xfId="1" applyNumberFormat="1" applyFont="1" applyFill="1" applyBorder="1" applyAlignment="1">
      <alignment horizontal="center"/>
    </xf>
    <xf numFmtId="167" fontId="4" fillId="8" borderId="4" xfId="1" applyNumberFormat="1" applyFont="1" applyFill="1" applyBorder="1" applyAlignment="1">
      <alignment horizontal="center"/>
    </xf>
    <xf numFmtId="167" fontId="4" fillId="9" borderId="4" xfId="1" applyNumberFormat="1" applyFont="1" applyFill="1" applyBorder="1" applyAlignment="1">
      <alignment horizontal="center"/>
    </xf>
    <xf numFmtId="167" fontId="4" fillId="11" borderId="4" xfId="1" applyNumberFormat="1" applyFont="1" applyFill="1" applyBorder="1" applyAlignment="1">
      <alignment horizontal="center"/>
    </xf>
    <xf numFmtId="167" fontId="4" fillId="14" borderId="4" xfId="1" applyNumberFormat="1" applyFont="1" applyFill="1" applyBorder="1" applyAlignment="1">
      <alignment horizontal="center"/>
    </xf>
    <xf numFmtId="167" fontId="4" fillId="16" borderId="1" xfId="1" applyNumberFormat="1" applyFont="1" applyFill="1" applyBorder="1" applyAlignment="1">
      <alignment horizontal="center"/>
    </xf>
    <xf numFmtId="167" fontId="4" fillId="17" borderId="4" xfId="1" applyNumberFormat="1" applyFont="1" applyFill="1" applyBorder="1" applyAlignment="1">
      <alignment horizontal="center"/>
    </xf>
    <xf numFmtId="167" fontId="2" fillId="0" borderId="0" xfId="1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&quot;HD&quot;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BF3DFD-A286-4558-86FB-6CDDF5EA2814}" name="Table2" displayName="Table2" ref="A3:L81" totalsRowShown="0" headerRowDxfId="14" dataDxfId="13" tableBorderDxfId="12">
  <autoFilter ref="A3:L81" xr:uid="{B9BF3DFD-A286-4558-86FB-6CDDF5EA2814}"/>
  <tableColumns count="12">
    <tableColumn id="2" xr3:uid="{6170319D-7453-48CD-9211-D0D4E509BE28}" name="Tên tàu" dataDxfId="11"/>
    <tableColumn id="3" xr3:uid="{B4DA1279-723D-4CF7-BC8B-D1BD560976BC}" name="Chuyến" dataDxfId="10"/>
    <tableColumn id="4" xr3:uid="{82FE0740-71F5-4F88-8559-C57D80837E4B}" name="Tên hàng" dataDxfId="9"/>
    <tableColumn id="5" xr3:uid="{AA31444A-5E78-407F-934D-E3060E172974}" name="Ngày_x000a_ xếp" dataDxfId="8"/>
    <tableColumn id="6" xr3:uid="{A7B029F2-5B16-494F-8BAD-6D8D4328BAD1}" name="Cảng xếp" dataDxfId="7"/>
    <tableColumn id="7" xr3:uid="{246EC314-E416-4271-AF4C-F30EC3118498}" name="Ngày dỡ" dataDxfId="6"/>
    <tableColumn id="8" xr3:uid="{3E5CC61C-E430-4578-83F6-003649D3DD08}" name="Cảng dỡ" dataDxfId="5"/>
    <tableColumn id="9" xr3:uid="{020B1C79-86E6-4548-8789-06FF0D3A31C1}" name="Khối lượng_x000a_ tính cước" dataDxfId="4"/>
    <tableColumn id="10" xr3:uid="{DD3F2FF4-0344-40D6-935D-FD971CDBF160}" name="Thực tế (Đơn giá_x000a_đã có VAT )" dataDxfId="3"/>
    <tableColumn id="12" xr3:uid="{094AE9C3-9A54-408A-829E-612F4ABA97DC}" name="Mã Chuyến" dataDxfId="2" dataCellStyle="Comma"/>
    <tableColumn id="14" xr3:uid="{EC4EDDE6-B6F5-45F7-8B49-5FBD37C23149}" name="Tiền gửi" dataDxfId="1"/>
    <tableColumn id="22" xr3:uid="{887FE7F7-2439-4257-BCB4-921C9579CAA7}" name="Khách hà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7EF4-D536-4985-95A9-A35FF3B1C4F3}">
  <dimension ref="A1:T63"/>
  <sheetViews>
    <sheetView tabSelected="1" zoomScale="85" zoomScaleNormal="85" workbookViewId="0">
      <pane ySplit="3" topLeftCell="A43" activePane="bottomLeft" state="frozen"/>
      <selection pane="bottomLeft" activeCell="L3" sqref="L3"/>
    </sheetView>
  </sheetViews>
  <sheetFormatPr defaultColWidth="9.140625" defaultRowHeight="15" outlineLevelCol="1" x14ac:dyDescent="0.25"/>
  <cols>
    <col min="1" max="1" width="10.140625" style="1" customWidth="1"/>
    <col min="2" max="2" width="10.28515625" style="1" customWidth="1"/>
    <col min="3" max="3" width="11.5703125" style="1" customWidth="1"/>
    <col min="4" max="4" width="9" style="3" customWidth="1"/>
    <col min="5" max="5" width="12.28515625" style="1" customWidth="1"/>
    <col min="6" max="6" width="10.42578125" style="1" customWidth="1"/>
    <col min="7" max="7" width="11.85546875" style="1" customWidth="1"/>
    <col min="8" max="8" width="12" style="1" customWidth="1"/>
    <col min="9" max="9" width="12.28515625" style="1" customWidth="1"/>
    <col min="10" max="10" width="6.140625" style="112" customWidth="1"/>
    <col min="11" max="11" width="13.28515625" style="1" customWidth="1" outlineLevel="1"/>
    <col min="12" max="15" width="15.7109375" style="1" customWidth="1"/>
    <col min="16" max="16" width="15.7109375" style="2" customWidth="1"/>
    <col min="17" max="20" width="15.7109375" style="1" customWidth="1"/>
    <col min="21" max="16384" width="9.140625" style="1"/>
  </cols>
  <sheetData>
    <row r="1" spans="1:20" ht="22.5" x14ac:dyDescent="0.3">
      <c r="A1" s="116" t="s">
        <v>39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</row>
    <row r="2" spans="1:20" ht="22.5" x14ac:dyDescent="0.3">
      <c r="A2" s="113" t="s">
        <v>33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5"/>
      <c r="M2" s="113" t="s">
        <v>34</v>
      </c>
      <c r="N2" s="114"/>
      <c r="O2" s="114"/>
      <c r="P2" s="114"/>
      <c r="Q2" s="114"/>
      <c r="R2" s="114"/>
      <c r="S2" s="114"/>
      <c r="T2" s="114"/>
    </row>
    <row r="3" spans="1:20" s="4" customFormat="1" ht="42.75" x14ac:dyDescent="0.25">
      <c r="A3" s="101" t="s">
        <v>3</v>
      </c>
      <c r="B3" s="101" t="s">
        <v>35</v>
      </c>
      <c r="C3" s="101" t="s">
        <v>4</v>
      </c>
      <c r="D3" s="101" t="s">
        <v>10</v>
      </c>
      <c r="E3" s="102" t="s">
        <v>5</v>
      </c>
      <c r="F3" s="101" t="s">
        <v>25</v>
      </c>
      <c r="G3" s="102" t="s">
        <v>6</v>
      </c>
      <c r="H3" s="101" t="s">
        <v>7</v>
      </c>
      <c r="I3" s="101" t="s">
        <v>45</v>
      </c>
      <c r="J3" s="103" t="s">
        <v>73</v>
      </c>
      <c r="K3" s="102" t="s">
        <v>8</v>
      </c>
      <c r="L3" s="102" t="s">
        <v>78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36</v>
      </c>
      <c r="T3" s="5" t="s">
        <v>32</v>
      </c>
    </row>
    <row r="4" spans="1:20" s="9" customFormat="1" ht="24.95" customHeight="1" x14ac:dyDescent="0.25">
      <c r="A4" s="11" t="s">
        <v>2</v>
      </c>
      <c r="B4" s="10" t="s">
        <v>43</v>
      </c>
      <c r="C4" s="10" t="s">
        <v>21</v>
      </c>
      <c r="D4" s="76">
        <v>46018</v>
      </c>
      <c r="E4" s="12" t="s">
        <v>20</v>
      </c>
      <c r="F4" s="76">
        <v>46024</v>
      </c>
      <c r="G4" s="10" t="s">
        <v>23</v>
      </c>
      <c r="H4" s="12">
        <v>3922.05</v>
      </c>
      <c r="I4" s="13">
        <v>125000</v>
      </c>
      <c r="J4" s="104">
        <v>2</v>
      </c>
      <c r="K4" s="14">
        <v>13000</v>
      </c>
      <c r="L4" s="8" t="s">
        <v>75</v>
      </c>
      <c r="M4" s="7">
        <v>9312140</v>
      </c>
      <c r="N4" s="14"/>
      <c r="O4" s="6">
        <v>2500000</v>
      </c>
      <c r="P4" s="13">
        <v>15699000</v>
      </c>
      <c r="Q4" s="10"/>
      <c r="R4" s="10"/>
      <c r="S4" s="10"/>
      <c r="T4" s="14">
        <v>11137000</v>
      </c>
    </row>
    <row r="5" spans="1:20" s="9" customFormat="1" ht="24.95" customHeight="1" x14ac:dyDescent="0.25">
      <c r="A5" s="11" t="s">
        <v>2</v>
      </c>
      <c r="B5" s="10" t="s">
        <v>44</v>
      </c>
      <c r="C5" s="10" t="s">
        <v>18</v>
      </c>
      <c r="D5" s="75">
        <f t="shared" ref="D5:D10" si="0">+F4+1</f>
        <v>46025</v>
      </c>
      <c r="E5" s="10" t="s">
        <v>11</v>
      </c>
      <c r="F5" s="76">
        <v>46035</v>
      </c>
      <c r="G5" s="12" t="s">
        <v>19</v>
      </c>
      <c r="H5" s="12">
        <v>3987.95</v>
      </c>
      <c r="I5" s="13">
        <v>160000</v>
      </c>
      <c r="J5" s="104">
        <v>4</v>
      </c>
      <c r="K5" s="14">
        <v>0</v>
      </c>
      <c r="L5" s="8" t="s">
        <v>76</v>
      </c>
      <c r="M5" s="7"/>
      <c r="N5" s="84">
        <v>8893400</v>
      </c>
      <c r="O5" s="6">
        <v>17406000</v>
      </c>
      <c r="P5" s="13">
        <v>2000000</v>
      </c>
      <c r="Q5" s="10"/>
      <c r="R5" s="10"/>
      <c r="S5" s="10">
        <f>300000*1.5*11*2</f>
        <v>9900000</v>
      </c>
      <c r="T5" s="14">
        <v>7425000</v>
      </c>
    </row>
    <row r="6" spans="1:20" s="9" customFormat="1" ht="24.95" customHeight="1" x14ac:dyDescent="0.25">
      <c r="A6" s="11" t="s">
        <v>2</v>
      </c>
      <c r="B6" s="10" t="s">
        <v>46</v>
      </c>
      <c r="C6" s="10" t="s">
        <v>21</v>
      </c>
      <c r="D6" s="75">
        <f t="shared" si="0"/>
        <v>46036</v>
      </c>
      <c r="E6" s="12" t="s">
        <v>20</v>
      </c>
      <c r="F6" s="76">
        <v>46046</v>
      </c>
      <c r="G6" s="10" t="s">
        <v>23</v>
      </c>
      <c r="H6" s="12">
        <v>3975.02</v>
      </c>
      <c r="I6" s="13">
        <v>120000</v>
      </c>
      <c r="J6" s="104">
        <v>11</v>
      </c>
      <c r="K6" s="14">
        <v>4824.2776136975408</v>
      </c>
      <c r="L6" s="8" t="s">
        <v>75</v>
      </c>
      <c r="M6" s="84">
        <v>9531480</v>
      </c>
      <c r="N6" s="14"/>
      <c r="O6" s="6">
        <v>2500000</v>
      </c>
      <c r="P6" s="13">
        <v>14248000</v>
      </c>
      <c r="Q6" s="10"/>
      <c r="R6" s="10"/>
      <c r="S6" s="10"/>
      <c r="T6" s="14">
        <v>11137000</v>
      </c>
    </row>
    <row r="7" spans="1:20" s="9" customFormat="1" ht="24.95" customHeight="1" x14ac:dyDescent="0.25">
      <c r="A7" s="16" t="s">
        <v>2</v>
      </c>
      <c r="B7" s="15" t="s">
        <v>47</v>
      </c>
      <c r="C7" s="15" t="s">
        <v>14</v>
      </c>
      <c r="D7" s="75">
        <f t="shared" si="0"/>
        <v>46047</v>
      </c>
      <c r="E7" s="17" t="s">
        <v>15</v>
      </c>
      <c r="F7" s="87">
        <v>46054</v>
      </c>
      <c r="G7" s="15" t="s">
        <v>24</v>
      </c>
      <c r="H7" s="12">
        <v>4008</v>
      </c>
      <c r="I7" s="19">
        <v>223000</v>
      </c>
      <c r="J7" s="105">
        <v>14</v>
      </c>
      <c r="K7" s="20">
        <v>8000</v>
      </c>
      <c r="L7" s="8" t="s">
        <v>74</v>
      </c>
      <c r="M7" s="84">
        <v>41658617</v>
      </c>
      <c r="N7" s="14">
        <v>9820610</v>
      </c>
      <c r="O7" s="6">
        <v>2800000</v>
      </c>
      <c r="P7" s="19">
        <v>3100000</v>
      </c>
      <c r="Q7" s="15"/>
      <c r="R7" s="15"/>
      <c r="S7" s="15"/>
      <c r="T7" s="14">
        <v>7425000</v>
      </c>
    </row>
    <row r="8" spans="1:20" s="9" customFormat="1" ht="24.95" customHeight="1" x14ac:dyDescent="0.25">
      <c r="A8" s="16" t="s">
        <v>2</v>
      </c>
      <c r="B8" s="15" t="s">
        <v>53</v>
      </c>
      <c r="C8" s="15" t="s">
        <v>21</v>
      </c>
      <c r="D8" s="75">
        <f t="shared" si="0"/>
        <v>46055</v>
      </c>
      <c r="E8" s="17" t="s">
        <v>24</v>
      </c>
      <c r="F8" s="87">
        <v>46066</v>
      </c>
      <c r="G8" s="15" t="s">
        <v>23</v>
      </c>
      <c r="H8" s="12">
        <v>3960.99</v>
      </c>
      <c r="I8" s="19">
        <v>120000</v>
      </c>
      <c r="J8" s="105">
        <v>20</v>
      </c>
      <c r="K8" s="20">
        <v>15000</v>
      </c>
      <c r="L8" s="8" t="s">
        <v>75</v>
      </c>
      <c r="M8" s="84">
        <f>9122710+33035</f>
        <v>9155745</v>
      </c>
      <c r="N8" s="20"/>
      <c r="O8" s="6">
        <v>2500000</v>
      </c>
      <c r="P8" s="19">
        <v>23647000</v>
      </c>
      <c r="Q8" s="15"/>
      <c r="R8" s="15"/>
      <c r="S8" s="15"/>
      <c r="T8" s="14">
        <v>11137000</v>
      </c>
    </row>
    <row r="9" spans="1:20" s="9" customFormat="1" ht="24.95" customHeight="1" x14ac:dyDescent="0.25">
      <c r="A9" s="16" t="s">
        <v>2</v>
      </c>
      <c r="B9" s="15" t="s">
        <v>58</v>
      </c>
      <c r="C9" s="15" t="s">
        <v>60</v>
      </c>
      <c r="D9" s="75">
        <f t="shared" si="0"/>
        <v>46067</v>
      </c>
      <c r="E9" s="17" t="s">
        <v>12</v>
      </c>
      <c r="F9" s="87">
        <v>46087</v>
      </c>
      <c r="G9" s="15" t="s">
        <v>24</v>
      </c>
      <c r="H9" s="12">
        <v>3999.6</v>
      </c>
      <c r="I9" s="19">
        <v>200000</v>
      </c>
      <c r="J9" s="105">
        <v>25</v>
      </c>
      <c r="K9" s="20">
        <v>17000</v>
      </c>
      <c r="L9" s="22" t="s">
        <v>77</v>
      </c>
      <c r="M9" s="84">
        <v>11682336</v>
      </c>
      <c r="N9" s="84">
        <v>9451720</v>
      </c>
      <c r="O9" s="6"/>
      <c r="P9" s="19"/>
      <c r="Q9" s="15"/>
      <c r="R9" s="15"/>
      <c r="S9" s="15"/>
      <c r="T9" s="14"/>
    </row>
    <row r="10" spans="1:20" s="9" customFormat="1" ht="24.95" customHeight="1" x14ac:dyDescent="0.25">
      <c r="A10" s="16" t="s">
        <v>2</v>
      </c>
      <c r="B10" s="15" t="s">
        <v>61</v>
      </c>
      <c r="C10" s="15" t="s">
        <v>48</v>
      </c>
      <c r="D10" s="75">
        <f t="shared" si="0"/>
        <v>46088</v>
      </c>
      <c r="E10" s="17" t="s">
        <v>20</v>
      </c>
      <c r="F10" s="87">
        <v>46104</v>
      </c>
      <c r="G10" s="15" t="s">
        <v>17</v>
      </c>
      <c r="H10" s="21">
        <v>3998.61</v>
      </c>
      <c r="I10" s="19">
        <v>151000</v>
      </c>
      <c r="J10" s="105">
        <v>33</v>
      </c>
      <c r="K10" s="20"/>
      <c r="L10" s="8" t="s">
        <v>74</v>
      </c>
      <c r="M10" s="84">
        <v>9860490</v>
      </c>
      <c r="N10" s="20">
        <v>8845900</v>
      </c>
      <c r="O10" s="15"/>
      <c r="P10" s="19"/>
      <c r="Q10" s="15"/>
      <c r="R10" s="15"/>
      <c r="S10" s="15"/>
      <c r="T10" s="14"/>
    </row>
    <row r="11" spans="1:20" s="9" customFormat="1" ht="24.95" customHeight="1" x14ac:dyDescent="0.25">
      <c r="A11" s="16" t="s">
        <v>2</v>
      </c>
      <c r="B11" s="15" t="s">
        <v>64</v>
      </c>
      <c r="C11" s="15" t="s">
        <v>38</v>
      </c>
      <c r="D11" s="75">
        <f t="shared" ref="D11" si="1">+F10+1</f>
        <v>46105</v>
      </c>
      <c r="E11" s="17" t="s">
        <v>40</v>
      </c>
      <c r="F11" s="87">
        <v>46110</v>
      </c>
      <c r="G11" s="15" t="s">
        <v>41</v>
      </c>
      <c r="H11" s="21">
        <v>3849.62</v>
      </c>
      <c r="I11" s="19">
        <v>90000</v>
      </c>
      <c r="J11" s="105">
        <v>31</v>
      </c>
      <c r="K11" s="20"/>
      <c r="L11" s="8" t="s">
        <v>74</v>
      </c>
      <c r="M11" s="90"/>
      <c r="N11" s="20"/>
      <c r="O11" s="15"/>
      <c r="P11" s="19"/>
      <c r="Q11" s="15"/>
      <c r="R11" s="15"/>
      <c r="S11" s="15"/>
      <c r="T11" s="14"/>
    </row>
    <row r="12" spans="1:20" s="9" customFormat="1" ht="24.95" customHeight="1" x14ac:dyDescent="0.25">
      <c r="A12" s="16" t="s">
        <v>2</v>
      </c>
      <c r="B12" s="15" t="s">
        <v>68</v>
      </c>
      <c r="C12" s="15" t="s">
        <v>14</v>
      </c>
      <c r="D12" s="75">
        <f>+F11+1</f>
        <v>46111</v>
      </c>
      <c r="E12" s="17" t="s">
        <v>15</v>
      </c>
      <c r="F12" s="87">
        <v>46118</v>
      </c>
      <c r="G12" s="15" t="s">
        <v>24</v>
      </c>
      <c r="H12" s="21">
        <v>3997</v>
      </c>
      <c r="I12" s="19">
        <v>253000</v>
      </c>
      <c r="J12" s="105">
        <v>37</v>
      </c>
      <c r="K12" s="20"/>
      <c r="L12" s="8" t="s">
        <v>74</v>
      </c>
      <c r="M12" s="90"/>
      <c r="N12" s="90">
        <v>10292000</v>
      </c>
      <c r="O12" s="15"/>
      <c r="P12" s="19"/>
      <c r="Q12" s="15"/>
      <c r="R12" s="15"/>
      <c r="S12" s="15"/>
      <c r="T12" s="14"/>
    </row>
    <row r="13" spans="1:20" s="9" customFormat="1" ht="24.95" customHeight="1" x14ac:dyDescent="0.25">
      <c r="A13" s="16" t="s">
        <v>2</v>
      </c>
      <c r="B13" s="15" t="s">
        <v>69</v>
      </c>
      <c r="C13" s="15" t="s">
        <v>21</v>
      </c>
      <c r="D13" s="75">
        <f>+F12+1</f>
        <v>46119</v>
      </c>
      <c r="E13" s="17" t="s">
        <v>20</v>
      </c>
      <c r="F13" s="87">
        <v>46127</v>
      </c>
      <c r="G13" s="15" t="s">
        <v>23</v>
      </c>
      <c r="H13" s="21">
        <v>3981.43</v>
      </c>
      <c r="I13" s="19">
        <v>155000</v>
      </c>
      <c r="J13" s="105">
        <v>41</v>
      </c>
      <c r="K13" s="20"/>
      <c r="L13" s="8" t="s">
        <v>75</v>
      </c>
      <c r="M13" s="90">
        <f>7000126-276</f>
        <v>6999850</v>
      </c>
      <c r="N13" s="20"/>
      <c r="O13" s="15"/>
      <c r="P13" s="19"/>
      <c r="Q13" s="15"/>
      <c r="R13" s="15"/>
      <c r="S13" s="15"/>
      <c r="T13" s="14"/>
    </row>
    <row r="14" spans="1:20" s="9" customFormat="1" ht="24.95" customHeight="1" x14ac:dyDescent="0.25">
      <c r="A14" s="16" t="s">
        <v>2</v>
      </c>
      <c r="B14" s="15" t="s">
        <v>70</v>
      </c>
      <c r="C14" s="15" t="s">
        <v>18</v>
      </c>
      <c r="D14" s="75">
        <f>+F13+1</f>
        <v>46128</v>
      </c>
      <c r="E14" s="17" t="s">
        <v>11</v>
      </c>
      <c r="F14" s="87">
        <v>46136</v>
      </c>
      <c r="G14" s="15" t="s">
        <v>19</v>
      </c>
      <c r="H14" s="21">
        <v>4008.27</v>
      </c>
      <c r="I14" s="19">
        <v>210000</v>
      </c>
      <c r="J14" s="105">
        <v>45</v>
      </c>
      <c r="K14" s="20"/>
      <c r="L14" s="8" t="s">
        <v>74</v>
      </c>
      <c r="M14" s="90"/>
      <c r="N14" s="20"/>
      <c r="O14" s="15"/>
      <c r="P14" s="19"/>
      <c r="Q14" s="15"/>
      <c r="R14" s="15"/>
      <c r="S14" s="15"/>
      <c r="T14" s="14"/>
    </row>
    <row r="15" spans="1:20" s="9" customFormat="1" ht="24.95" customHeight="1" x14ac:dyDescent="0.25">
      <c r="A15" s="16" t="s">
        <v>2</v>
      </c>
      <c r="B15" s="15" t="s">
        <v>71</v>
      </c>
      <c r="C15" s="15" t="s">
        <v>48</v>
      </c>
      <c r="D15" s="75">
        <f>+F14+1</f>
        <v>46137</v>
      </c>
      <c r="E15" s="17" t="s">
        <v>20</v>
      </c>
      <c r="F15" s="87">
        <v>46150</v>
      </c>
      <c r="G15" s="15" t="s">
        <v>57</v>
      </c>
      <c r="H15" s="21">
        <v>3951.44</v>
      </c>
      <c r="I15" s="19">
        <v>160000</v>
      </c>
      <c r="J15" s="105">
        <v>51</v>
      </c>
      <c r="K15" s="20"/>
      <c r="L15" s="22" t="s">
        <v>74</v>
      </c>
      <c r="M15" s="90"/>
      <c r="N15" s="20"/>
      <c r="O15" s="15"/>
      <c r="P15" s="19"/>
      <c r="Q15" s="15"/>
      <c r="R15" s="15"/>
      <c r="S15" s="15"/>
      <c r="T15" s="14"/>
    </row>
    <row r="16" spans="1:20" s="9" customFormat="1" ht="24.95" customHeight="1" x14ac:dyDescent="0.25">
      <c r="A16" s="16"/>
      <c r="B16" s="15"/>
      <c r="C16" s="15"/>
      <c r="D16" s="75"/>
      <c r="E16" s="17"/>
      <c r="F16" s="87"/>
      <c r="G16" s="15"/>
      <c r="H16" s="21"/>
      <c r="I16" s="19"/>
      <c r="J16" s="105"/>
      <c r="K16" s="20"/>
      <c r="L16" s="22"/>
      <c r="M16" s="90"/>
      <c r="N16" s="20"/>
      <c r="O16" s="15"/>
      <c r="P16" s="19"/>
      <c r="Q16" s="15"/>
      <c r="R16" s="15"/>
      <c r="S16" s="15"/>
      <c r="T16" s="14"/>
    </row>
    <row r="17" spans="1:20" s="9" customFormat="1" ht="24.95" customHeight="1" x14ac:dyDescent="0.25">
      <c r="A17" s="16"/>
      <c r="B17" s="15"/>
      <c r="C17" s="15"/>
      <c r="D17" s="77"/>
      <c r="E17" s="17"/>
      <c r="F17" s="18"/>
      <c r="G17" s="15"/>
      <c r="H17" s="21"/>
      <c r="I17" s="19"/>
      <c r="J17" s="105"/>
      <c r="K17" s="20"/>
      <c r="L17" s="22"/>
      <c r="M17" s="84"/>
      <c r="N17" s="20"/>
      <c r="O17" s="15"/>
      <c r="P17" s="19"/>
      <c r="Q17" s="15"/>
      <c r="R17" s="15"/>
      <c r="S17" s="15"/>
      <c r="T17" s="14"/>
    </row>
    <row r="18" spans="1:20" s="25" customFormat="1" ht="24.95" customHeight="1" x14ac:dyDescent="0.25">
      <c r="A18" s="27" t="s">
        <v>0</v>
      </c>
      <c r="B18" s="26" t="s">
        <v>43</v>
      </c>
      <c r="C18" s="26" t="s">
        <v>21</v>
      </c>
      <c r="D18" s="23">
        <v>46021</v>
      </c>
      <c r="E18" s="28" t="s">
        <v>20</v>
      </c>
      <c r="F18" s="23">
        <v>46037</v>
      </c>
      <c r="G18" s="26" t="s">
        <v>23</v>
      </c>
      <c r="H18" s="28">
        <v>4585.4799999999996</v>
      </c>
      <c r="I18" s="29">
        <v>125000</v>
      </c>
      <c r="J18" s="106">
        <v>6</v>
      </c>
      <c r="K18" s="30">
        <v>-2705.9108315814269</v>
      </c>
      <c r="L18" s="31" t="s">
        <v>75</v>
      </c>
      <c r="M18" s="86">
        <v>57146836</v>
      </c>
      <c r="N18" s="30"/>
      <c r="O18" s="29">
        <v>4180000</v>
      </c>
      <c r="P18" s="29">
        <v>18961000</v>
      </c>
      <c r="Q18" s="26">
        <v>9979200</v>
      </c>
      <c r="R18" s="26"/>
      <c r="S18" s="26">
        <v>7779048</v>
      </c>
      <c r="T18" s="24">
        <v>11132000</v>
      </c>
    </row>
    <row r="19" spans="1:20" s="25" customFormat="1" ht="24.95" customHeight="1" x14ac:dyDescent="0.25">
      <c r="A19" s="33" t="s">
        <v>0</v>
      </c>
      <c r="B19" s="32" t="s">
        <v>44</v>
      </c>
      <c r="C19" s="32" t="s">
        <v>14</v>
      </c>
      <c r="D19" s="23">
        <f>+F18+1</f>
        <v>46038</v>
      </c>
      <c r="E19" s="34" t="s">
        <v>15</v>
      </c>
      <c r="F19" s="23">
        <v>46046</v>
      </c>
      <c r="G19" s="33" t="s">
        <v>13</v>
      </c>
      <c r="H19" s="28">
        <v>4695.28</v>
      </c>
      <c r="I19" s="35">
        <v>180000</v>
      </c>
      <c r="J19" s="107">
        <v>10</v>
      </c>
      <c r="K19" s="36">
        <v>10000</v>
      </c>
      <c r="L19" s="37" t="s">
        <v>74</v>
      </c>
      <c r="M19" s="30">
        <v>44012220</v>
      </c>
      <c r="N19" s="36">
        <v>32791040</v>
      </c>
      <c r="O19" s="29">
        <v>5800000</v>
      </c>
      <c r="P19" s="35">
        <v>7300000</v>
      </c>
      <c r="Q19" s="32"/>
      <c r="R19" s="32"/>
      <c r="S19" s="32"/>
      <c r="T19" s="24">
        <v>5775000</v>
      </c>
    </row>
    <row r="20" spans="1:20" s="25" customFormat="1" ht="24.95" customHeight="1" x14ac:dyDescent="0.25">
      <c r="A20" s="33" t="s">
        <v>0</v>
      </c>
      <c r="B20" s="32" t="s">
        <v>46</v>
      </c>
      <c r="C20" s="32" t="s">
        <v>50</v>
      </c>
      <c r="D20" s="23">
        <f t="shared" ref="D20:D24" si="2">+F19+1</f>
        <v>46047</v>
      </c>
      <c r="E20" s="34" t="s">
        <v>42</v>
      </c>
      <c r="F20" s="23">
        <v>46058</v>
      </c>
      <c r="G20" s="33" t="s">
        <v>41</v>
      </c>
      <c r="H20" s="28">
        <v>4576.5</v>
      </c>
      <c r="I20" s="35">
        <v>95000</v>
      </c>
      <c r="J20" s="107">
        <v>17</v>
      </c>
      <c r="K20" s="36"/>
      <c r="L20" s="37" t="s">
        <v>74</v>
      </c>
      <c r="M20" s="36">
        <v>43024312</v>
      </c>
      <c r="N20" s="36"/>
      <c r="O20" s="29">
        <v>7400000</v>
      </c>
      <c r="P20" s="35">
        <v>12570000</v>
      </c>
      <c r="Q20" s="32"/>
      <c r="R20" s="32"/>
      <c r="S20" s="32"/>
      <c r="T20" s="24">
        <v>9900000</v>
      </c>
    </row>
    <row r="21" spans="1:20" s="25" customFormat="1" ht="24.95" customHeight="1" x14ac:dyDescent="0.25">
      <c r="A21" s="33" t="s">
        <v>0</v>
      </c>
      <c r="B21" s="32" t="s">
        <v>47</v>
      </c>
      <c r="C21" s="32" t="s">
        <v>14</v>
      </c>
      <c r="D21" s="23">
        <f t="shared" si="2"/>
        <v>46059</v>
      </c>
      <c r="E21" s="34" t="s">
        <v>15</v>
      </c>
      <c r="F21" s="23">
        <v>46080</v>
      </c>
      <c r="G21" s="33" t="s">
        <v>19</v>
      </c>
      <c r="H21" s="28">
        <v>4745</v>
      </c>
      <c r="I21" s="35">
        <v>193000</v>
      </c>
      <c r="J21" s="107">
        <v>21</v>
      </c>
      <c r="K21" s="36">
        <v>10000</v>
      </c>
      <c r="L21" s="37" t="s">
        <v>74</v>
      </c>
      <c r="M21" s="86">
        <v>43593515</v>
      </c>
      <c r="N21" s="86">
        <v>36923510</v>
      </c>
      <c r="O21" s="29">
        <f>2800000+27200000</f>
        <v>30000000</v>
      </c>
      <c r="P21" s="35"/>
      <c r="Q21" s="32"/>
      <c r="R21" s="32"/>
      <c r="S21" s="32"/>
      <c r="T21" s="24"/>
    </row>
    <row r="22" spans="1:20" s="25" customFormat="1" ht="24.95" customHeight="1" x14ac:dyDescent="0.25">
      <c r="A22" s="33" t="s">
        <v>0</v>
      </c>
      <c r="B22" s="32" t="s">
        <v>53</v>
      </c>
      <c r="C22" s="32" t="s">
        <v>21</v>
      </c>
      <c r="D22" s="23">
        <f t="shared" si="2"/>
        <v>46081</v>
      </c>
      <c r="E22" s="34" t="s">
        <v>20</v>
      </c>
      <c r="F22" s="23">
        <v>46096</v>
      </c>
      <c r="G22" s="33" t="s">
        <v>23</v>
      </c>
      <c r="H22" s="28">
        <v>4604.8900000000003</v>
      </c>
      <c r="I22" s="35">
        <v>120000</v>
      </c>
      <c r="J22" s="107">
        <v>26</v>
      </c>
      <c r="K22" s="36">
        <v>20000</v>
      </c>
      <c r="L22" s="31" t="s">
        <v>75</v>
      </c>
      <c r="M22" s="86">
        <v>56025556</v>
      </c>
      <c r="N22" s="36"/>
      <c r="O22" s="32"/>
      <c r="P22" s="35"/>
      <c r="Q22" s="32"/>
      <c r="R22" s="32"/>
      <c r="S22" s="32"/>
      <c r="T22" s="24"/>
    </row>
    <row r="23" spans="1:20" s="25" customFormat="1" ht="24.95" customHeight="1" x14ac:dyDescent="0.25">
      <c r="A23" s="33" t="s">
        <v>0</v>
      </c>
      <c r="B23" s="32" t="s">
        <v>58</v>
      </c>
      <c r="C23" s="32" t="s">
        <v>14</v>
      </c>
      <c r="D23" s="23">
        <f t="shared" si="2"/>
        <v>46097</v>
      </c>
      <c r="E23" s="34" t="s">
        <v>15</v>
      </c>
      <c r="F23" s="23">
        <v>46107</v>
      </c>
      <c r="G23" s="33" t="s">
        <v>62</v>
      </c>
      <c r="H23" s="28">
        <v>4740</v>
      </c>
      <c r="I23" s="35">
        <v>210000</v>
      </c>
      <c r="J23" s="107">
        <v>29</v>
      </c>
      <c r="K23" s="36">
        <v>30000</v>
      </c>
      <c r="L23" s="37" t="s">
        <v>74</v>
      </c>
      <c r="M23" s="36">
        <v>43126475</v>
      </c>
      <c r="N23" s="86">
        <v>21699456</v>
      </c>
      <c r="O23" s="32"/>
      <c r="P23" s="35"/>
      <c r="Q23" s="32"/>
      <c r="R23" s="32"/>
      <c r="S23" s="32"/>
      <c r="T23" s="24"/>
    </row>
    <row r="24" spans="1:20" s="25" customFormat="1" ht="24.95" customHeight="1" x14ac:dyDescent="0.25">
      <c r="A24" s="33" t="s">
        <v>0</v>
      </c>
      <c r="B24" s="32" t="s">
        <v>61</v>
      </c>
      <c r="C24" s="32" t="s">
        <v>21</v>
      </c>
      <c r="D24" s="23">
        <f t="shared" si="2"/>
        <v>46108</v>
      </c>
      <c r="E24" s="34" t="s">
        <v>20</v>
      </c>
      <c r="F24" s="23">
        <v>46116</v>
      </c>
      <c r="G24" s="33" t="s">
        <v>23</v>
      </c>
      <c r="H24" s="28">
        <v>4589.1899999999996</v>
      </c>
      <c r="I24" s="35">
        <v>150000</v>
      </c>
      <c r="J24" s="107">
        <v>36</v>
      </c>
      <c r="K24" s="36">
        <v>20000</v>
      </c>
      <c r="L24" s="37" t="s">
        <v>75</v>
      </c>
      <c r="M24" s="94">
        <v>56448916</v>
      </c>
      <c r="N24" s="94"/>
      <c r="O24" s="32"/>
      <c r="P24" s="35"/>
      <c r="Q24" s="32"/>
      <c r="R24" s="32"/>
      <c r="S24" s="32"/>
      <c r="T24" s="24"/>
    </row>
    <row r="25" spans="1:20" s="25" customFormat="1" ht="24.95" customHeight="1" x14ac:dyDescent="0.25">
      <c r="A25" s="33" t="s">
        <v>0</v>
      </c>
      <c r="B25" s="32" t="s">
        <v>64</v>
      </c>
      <c r="C25" s="98" t="s">
        <v>14</v>
      </c>
      <c r="D25" s="23">
        <f>+F24+1</f>
        <v>46117</v>
      </c>
      <c r="E25" s="34" t="s">
        <v>15</v>
      </c>
      <c r="F25" s="23">
        <v>46130</v>
      </c>
      <c r="G25" s="33" t="s">
        <v>19</v>
      </c>
      <c r="H25" s="28">
        <v>4589.1899999999996</v>
      </c>
      <c r="I25" s="35">
        <v>150000</v>
      </c>
      <c r="J25" s="107">
        <v>42</v>
      </c>
      <c r="K25" s="36"/>
      <c r="L25" s="37" t="s">
        <v>74</v>
      </c>
      <c r="M25" s="36"/>
      <c r="N25" s="94"/>
      <c r="O25" s="32"/>
      <c r="P25" s="35"/>
      <c r="Q25" s="32"/>
      <c r="R25" s="32"/>
      <c r="S25" s="32"/>
      <c r="T25" s="24"/>
    </row>
    <row r="26" spans="1:20" s="25" customFormat="1" ht="24.95" customHeight="1" x14ac:dyDescent="0.25">
      <c r="A26" s="33" t="s">
        <v>0</v>
      </c>
      <c r="B26" s="32" t="s">
        <v>68</v>
      </c>
      <c r="C26" s="98" t="s">
        <v>21</v>
      </c>
      <c r="D26" s="23">
        <f>+F25+1</f>
        <v>46131</v>
      </c>
      <c r="E26" s="34" t="s">
        <v>15</v>
      </c>
      <c r="F26" s="23">
        <v>46148</v>
      </c>
      <c r="G26" s="33" t="s">
        <v>72</v>
      </c>
      <c r="H26" s="28">
        <v>1</v>
      </c>
      <c r="I26" s="35">
        <v>818640000</v>
      </c>
      <c r="J26" s="107">
        <v>50</v>
      </c>
      <c r="K26" s="36"/>
      <c r="L26" s="37" t="s">
        <v>76</v>
      </c>
      <c r="M26" s="36"/>
      <c r="N26" s="94"/>
      <c r="O26" s="32"/>
      <c r="P26" s="35"/>
      <c r="Q26" s="32"/>
      <c r="R26" s="32"/>
      <c r="S26" s="32"/>
      <c r="T26" s="24"/>
    </row>
    <row r="27" spans="1:20" s="25" customFormat="1" ht="24.95" customHeight="1" x14ac:dyDescent="0.25">
      <c r="A27" s="33"/>
      <c r="B27" s="32"/>
      <c r="C27" s="98"/>
      <c r="D27" s="23"/>
      <c r="E27" s="34"/>
      <c r="F27" s="23"/>
      <c r="G27" s="33"/>
      <c r="H27" s="28"/>
      <c r="I27" s="35"/>
      <c r="J27" s="107"/>
      <c r="K27" s="36"/>
      <c r="L27" s="37"/>
      <c r="M27" s="36"/>
      <c r="N27" s="94"/>
      <c r="O27" s="32"/>
      <c r="P27" s="35"/>
      <c r="Q27" s="32"/>
      <c r="R27" s="32"/>
      <c r="S27" s="32"/>
      <c r="T27" s="24"/>
    </row>
    <row r="28" spans="1:20" s="25" customFormat="1" ht="24.95" customHeight="1" x14ac:dyDescent="0.25">
      <c r="A28" s="33"/>
      <c r="B28" s="32"/>
      <c r="C28" s="32"/>
      <c r="D28" s="23"/>
      <c r="E28" s="34"/>
      <c r="F28" s="23"/>
      <c r="G28" s="33"/>
      <c r="H28" s="28"/>
      <c r="I28" s="35"/>
      <c r="J28" s="107"/>
      <c r="K28" s="36"/>
      <c r="L28" s="37"/>
      <c r="M28" s="36"/>
      <c r="N28" s="36"/>
      <c r="O28" s="32"/>
      <c r="P28" s="35"/>
      <c r="Q28" s="32"/>
      <c r="R28" s="32"/>
      <c r="S28" s="32"/>
      <c r="T28" s="32"/>
    </row>
    <row r="29" spans="1:20" s="40" customFormat="1" ht="24.95" customHeight="1" x14ac:dyDescent="0.25">
      <c r="A29" s="42" t="s">
        <v>9</v>
      </c>
      <c r="B29" s="41" t="s">
        <v>43</v>
      </c>
      <c r="C29" s="41" t="s">
        <v>49</v>
      </c>
      <c r="D29" s="73">
        <v>46022</v>
      </c>
      <c r="E29" s="43" t="s">
        <v>15</v>
      </c>
      <c r="F29" s="78">
        <v>46028</v>
      </c>
      <c r="G29" s="41" t="s">
        <v>19</v>
      </c>
      <c r="H29" s="44">
        <v>4814</v>
      </c>
      <c r="I29" s="45">
        <v>183000</v>
      </c>
      <c r="J29" s="108">
        <v>3</v>
      </c>
      <c r="K29" s="46">
        <v>10000</v>
      </c>
      <c r="L29" s="39" t="s">
        <v>74</v>
      </c>
      <c r="M29" s="46">
        <v>44773738</v>
      </c>
      <c r="N29" s="46">
        <v>35337690</v>
      </c>
      <c r="O29" s="45"/>
      <c r="P29" s="45">
        <v>4340000</v>
      </c>
      <c r="Q29" s="41"/>
      <c r="R29" s="41"/>
      <c r="S29" s="41"/>
      <c r="T29" s="38">
        <v>7425000</v>
      </c>
    </row>
    <row r="30" spans="1:20" s="40" customFormat="1" ht="24.95" customHeight="1" x14ac:dyDescent="0.25">
      <c r="A30" s="42" t="s">
        <v>9</v>
      </c>
      <c r="B30" s="41" t="s">
        <v>44</v>
      </c>
      <c r="C30" s="41" t="s">
        <v>21</v>
      </c>
      <c r="D30" s="73">
        <f>+F29+1</f>
        <v>46029</v>
      </c>
      <c r="E30" s="43" t="s">
        <v>20</v>
      </c>
      <c r="F30" s="79">
        <v>46041</v>
      </c>
      <c r="G30" s="41" t="s">
        <v>23</v>
      </c>
      <c r="H30" s="44">
        <v>4619.2299999999996</v>
      </c>
      <c r="I30" s="45">
        <v>125000</v>
      </c>
      <c r="J30" s="108">
        <v>8</v>
      </c>
      <c r="K30" s="46">
        <v>8585.2945187834339</v>
      </c>
      <c r="L30" s="48" t="s">
        <v>75</v>
      </c>
      <c r="M30" s="85">
        <v>55058278</v>
      </c>
      <c r="N30" s="46"/>
      <c r="O30" s="45">
        <v>4470000</v>
      </c>
      <c r="P30" s="45">
        <v>19639000</v>
      </c>
      <c r="Q30" s="41"/>
      <c r="R30" s="41"/>
      <c r="S30" s="41"/>
      <c r="T30" s="38">
        <v>11132000</v>
      </c>
    </row>
    <row r="31" spans="1:20" s="40" customFormat="1" ht="24.95" customHeight="1" x14ac:dyDescent="0.25">
      <c r="A31" s="42" t="s">
        <v>9</v>
      </c>
      <c r="B31" s="41" t="s">
        <v>46</v>
      </c>
      <c r="C31" s="41" t="s">
        <v>14</v>
      </c>
      <c r="D31" s="73">
        <f t="shared" ref="D31:D35" si="3">+F30+1</f>
        <v>46042</v>
      </c>
      <c r="E31" s="43" t="s">
        <v>15</v>
      </c>
      <c r="F31" s="79">
        <v>46056</v>
      </c>
      <c r="G31" s="41" t="s">
        <v>19</v>
      </c>
      <c r="H31" s="44">
        <v>4810</v>
      </c>
      <c r="I31" s="45">
        <v>193000</v>
      </c>
      <c r="J31" s="108">
        <v>12</v>
      </c>
      <c r="K31" s="46">
        <v>10000</v>
      </c>
      <c r="L31" s="39" t="s">
        <v>74</v>
      </c>
      <c r="M31" s="46">
        <v>44454445</v>
      </c>
      <c r="N31" s="46">
        <v>38432391</v>
      </c>
      <c r="O31" s="45">
        <v>2800000</v>
      </c>
      <c r="P31" s="45">
        <v>2490000</v>
      </c>
      <c r="Q31" s="41"/>
      <c r="R31" s="41"/>
      <c r="S31" s="41"/>
      <c r="T31" s="38">
        <v>7425000</v>
      </c>
    </row>
    <row r="32" spans="1:20" s="40" customFormat="1" ht="24.95" customHeight="1" x14ac:dyDescent="0.25">
      <c r="A32" s="42" t="s">
        <v>9</v>
      </c>
      <c r="B32" s="41" t="s">
        <v>47</v>
      </c>
      <c r="C32" s="41" t="s">
        <v>48</v>
      </c>
      <c r="D32" s="73">
        <f t="shared" si="3"/>
        <v>46057</v>
      </c>
      <c r="E32" s="43" t="s">
        <v>20</v>
      </c>
      <c r="F32" s="79">
        <v>46076</v>
      </c>
      <c r="G32" s="41" t="s">
        <v>17</v>
      </c>
      <c r="H32" s="44">
        <v>4657.68</v>
      </c>
      <c r="I32" s="45">
        <v>145000</v>
      </c>
      <c r="J32" s="108">
        <v>18</v>
      </c>
      <c r="K32" s="46"/>
      <c r="L32" s="48" t="s">
        <v>77</v>
      </c>
      <c r="M32" s="47">
        <v>56147548</v>
      </c>
      <c r="N32" s="92">
        <v>27619385</v>
      </c>
      <c r="O32" s="45">
        <v>11195000</v>
      </c>
      <c r="P32" s="45">
        <f>11375000+6820000</f>
        <v>18195000</v>
      </c>
      <c r="Q32" s="41"/>
      <c r="R32" s="41"/>
      <c r="S32" s="41"/>
      <c r="T32" s="38">
        <v>11000000</v>
      </c>
    </row>
    <row r="33" spans="1:20" s="40" customFormat="1" ht="24.95" customHeight="1" x14ac:dyDescent="0.25">
      <c r="A33" s="42" t="s">
        <v>9</v>
      </c>
      <c r="B33" s="41" t="s">
        <v>53</v>
      </c>
      <c r="C33" s="41" t="s">
        <v>14</v>
      </c>
      <c r="D33" s="73">
        <f t="shared" si="3"/>
        <v>46077</v>
      </c>
      <c r="E33" s="43" t="s">
        <v>15</v>
      </c>
      <c r="F33" s="79">
        <v>46088</v>
      </c>
      <c r="G33" s="41" t="s">
        <v>13</v>
      </c>
      <c r="H33" s="44">
        <v>4796</v>
      </c>
      <c r="I33" s="45">
        <v>193000</v>
      </c>
      <c r="J33" s="108">
        <v>23</v>
      </c>
      <c r="K33" s="46"/>
      <c r="L33" s="48" t="s">
        <v>74</v>
      </c>
      <c r="M33" s="47">
        <f>11979485+42947980</f>
        <v>54927465</v>
      </c>
      <c r="N33" s="92">
        <v>35108518</v>
      </c>
      <c r="O33" s="45">
        <v>1800000</v>
      </c>
      <c r="P33" s="45"/>
      <c r="Q33" s="41"/>
      <c r="R33" s="41"/>
      <c r="S33" s="41"/>
      <c r="T33" s="38"/>
    </row>
    <row r="34" spans="1:20" s="40" customFormat="1" ht="24.95" customHeight="1" x14ac:dyDescent="0.25">
      <c r="A34" s="42" t="s">
        <v>9</v>
      </c>
      <c r="B34" s="41" t="s">
        <v>58</v>
      </c>
      <c r="C34" s="41" t="s">
        <v>21</v>
      </c>
      <c r="D34" s="73">
        <f t="shared" si="3"/>
        <v>46089</v>
      </c>
      <c r="E34" s="43" t="s">
        <v>20</v>
      </c>
      <c r="F34" s="79">
        <v>46101</v>
      </c>
      <c r="G34" s="41" t="s">
        <v>23</v>
      </c>
      <c r="H34" s="44">
        <v>4685.92</v>
      </c>
      <c r="I34" s="45">
        <v>120000</v>
      </c>
      <c r="J34" s="108">
        <v>27</v>
      </c>
      <c r="K34" s="46">
        <v>20000</v>
      </c>
      <c r="L34" s="48" t="s">
        <v>75</v>
      </c>
      <c r="M34" s="47">
        <v>54802633</v>
      </c>
      <c r="N34" s="46"/>
      <c r="O34" s="41"/>
      <c r="P34" s="45"/>
      <c r="Q34" s="41"/>
      <c r="R34" s="41"/>
      <c r="S34" s="41"/>
      <c r="T34" s="41"/>
    </row>
    <row r="35" spans="1:20" s="40" customFormat="1" ht="24.95" customHeight="1" x14ac:dyDescent="0.25">
      <c r="A35" s="42" t="s">
        <v>9</v>
      </c>
      <c r="B35" s="41" t="s">
        <v>61</v>
      </c>
      <c r="C35" s="41" t="s">
        <v>63</v>
      </c>
      <c r="D35" s="73">
        <f t="shared" si="3"/>
        <v>46102</v>
      </c>
      <c r="E35" s="43" t="s">
        <v>11</v>
      </c>
      <c r="F35" s="79">
        <v>46113</v>
      </c>
      <c r="G35" s="41" t="s">
        <v>19</v>
      </c>
      <c r="H35" s="44">
        <v>4750.84</v>
      </c>
      <c r="I35" s="45">
        <v>235000</v>
      </c>
      <c r="J35" s="108">
        <v>34</v>
      </c>
      <c r="K35" s="46"/>
      <c r="L35" s="48" t="s">
        <v>74</v>
      </c>
      <c r="M35" s="45"/>
      <c r="N35" s="97">
        <v>37347457</v>
      </c>
      <c r="O35" s="41"/>
      <c r="P35" s="45"/>
      <c r="Q35" s="41"/>
      <c r="R35" s="41"/>
      <c r="S35" s="41"/>
      <c r="T35" s="41"/>
    </row>
    <row r="36" spans="1:20" s="40" customFormat="1" ht="24.95" customHeight="1" x14ac:dyDescent="0.25">
      <c r="A36" s="42" t="s">
        <v>9</v>
      </c>
      <c r="B36" s="41" t="s">
        <v>64</v>
      </c>
      <c r="C36" s="41" t="s">
        <v>21</v>
      </c>
      <c r="D36" s="73">
        <f>+F35+1</f>
        <v>46114</v>
      </c>
      <c r="E36" s="43" t="s">
        <v>20</v>
      </c>
      <c r="F36" s="79">
        <v>46123</v>
      </c>
      <c r="G36" s="41" t="s">
        <v>23</v>
      </c>
      <c r="H36" s="44">
        <v>4683.28</v>
      </c>
      <c r="I36" s="45">
        <v>145000</v>
      </c>
      <c r="J36" s="108">
        <v>40</v>
      </c>
      <c r="K36" s="46"/>
      <c r="L36" s="48" t="s">
        <v>75</v>
      </c>
      <c r="M36" s="97">
        <v>54487716</v>
      </c>
      <c r="N36" s="97"/>
      <c r="O36" s="41"/>
      <c r="P36" s="45"/>
      <c r="Q36" s="41"/>
      <c r="R36" s="41"/>
      <c r="S36" s="41"/>
      <c r="T36" s="41"/>
    </row>
    <row r="37" spans="1:20" s="40" customFormat="1" ht="24.95" customHeight="1" x14ac:dyDescent="0.25">
      <c r="A37" s="42" t="s">
        <v>9</v>
      </c>
      <c r="B37" s="41" t="s">
        <v>68</v>
      </c>
      <c r="C37" s="41" t="s">
        <v>14</v>
      </c>
      <c r="D37" s="73">
        <f>+F36+1</f>
        <v>46124</v>
      </c>
      <c r="E37" s="43" t="s">
        <v>15</v>
      </c>
      <c r="F37" s="79">
        <v>46134</v>
      </c>
      <c r="G37" s="41" t="s">
        <v>19</v>
      </c>
      <c r="H37" s="44">
        <v>4795</v>
      </c>
      <c r="I37" s="45">
        <v>253000</v>
      </c>
      <c r="J37" s="108">
        <v>44</v>
      </c>
      <c r="K37" s="46"/>
      <c r="L37" s="48" t="s">
        <v>74</v>
      </c>
      <c r="M37" s="97"/>
      <c r="N37" s="97"/>
      <c r="O37" s="41"/>
      <c r="P37" s="45"/>
      <c r="Q37" s="41"/>
      <c r="R37" s="41"/>
      <c r="S37" s="41"/>
      <c r="T37" s="41"/>
    </row>
    <row r="38" spans="1:20" s="40" customFormat="1" ht="24.95" customHeight="1" x14ac:dyDescent="0.25">
      <c r="A38" s="42" t="s">
        <v>9</v>
      </c>
      <c r="B38" s="41" t="s">
        <v>69</v>
      </c>
      <c r="C38" s="41" t="s">
        <v>21</v>
      </c>
      <c r="D38" s="73">
        <f>+F37+1</f>
        <v>46135</v>
      </c>
      <c r="E38" s="43" t="s">
        <v>20</v>
      </c>
      <c r="F38" s="79">
        <v>46145</v>
      </c>
      <c r="G38" s="41" t="s">
        <v>23</v>
      </c>
      <c r="H38" s="44">
        <v>4713.07</v>
      </c>
      <c r="I38" s="45">
        <v>130000</v>
      </c>
      <c r="J38" s="108">
        <v>49</v>
      </c>
      <c r="K38" s="46"/>
      <c r="L38" s="48" t="s">
        <v>75</v>
      </c>
      <c r="M38" s="97"/>
      <c r="N38" s="97"/>
      <c r="O38" s="41"/>
      <c r="P38" s="45"/>
      <c r="Q38" s="41"/>
      <c r="R38" s="41"/>
      <c r="S38" s="41"/>
      <c r="T38" s="41"/>
    </row>
    <row r="39" spans="1:20" s="40" customFormat="1" ht="24.95" customHeight="1" x14ac:dyDescent="0.25">
      <c r="A39" s="42"/>
      <c r="B39" s="41"/>
      <c r="C39" s="41"/>
      <c r="D39" s="73"/>
      <c r="E39" s="43"/>
      <c r="F39" s="79"/>
      <c r="G39" s="41"/>
      <c r="H39" s="44"/>
      <c r="I39" s="45"/>
      <c r="J39" s="108"/>
      <c r="K39" s="46"/>
      <c r="L39" s="48"/>
      <c r="M39" s="45"/>
      <c r="N39" s="46"/>
      <c r="O39" s="41"/>
      <c r="P39" s="45"/>
      <c r="Q39" s="41"/>
      <c r="R39" s="41"/>
      <c r="S39" s="41"/>
      <c r="T39" s="41"/>
    </row>
    <row r="40" spans="1:20" s="50" customFormat="1" ht="24.95" customHeight="1" x14ac:dyDescent="0.25">
      <c r="A40" s="53" t="s">
        <v>1</v>
      </c>
      <c r="B40" s="52" t="s">
        <v>43</v>
      </c>
      <c r="C40" s="52" t="s">
        <v>14</v>
      </c>
      <c r="D40" s="74">
        <v>46018</v>
      </c>
      <c r="E40" s="54" t="s">
        <v>15</v>
      </c>
      <c r="F40" s="80">
        <v>46025</v>
      </c>
      <c r="G40" s="52" t="s">
        <v>13</v>
      </c>
      <c r="H40" s="54">
        <v>4769</v>
      </c>
      <c r="I40" s="56">
        <v>173000</v>
      </c>
      <c r="J40" s="109">
        <v>1</v>
      </c>
      <c r="K40" s="51">
        <v>10000</v>
      </c>
      <c r="L40" s="58" t="s">
        <v>74</v>
      </c>
      <c r="M40" s="49">
        <v>44661146</v>
      </c>
      <c r="N40" s="49">
        <v>37013258</v>
      </c>
      <c r="O40" s="49">
        <v>2800000</v>
      </c>
      <c r="P40" s="56">
        <v>10360000</v>
      </c>
      <c r="Q40" s="52"/>
      <c r="R40" s="52"/>
      <c r="S40" s="52"/>
      <c r="T40" s="52">
        <v>5500000</v>
      </c>
    </row>
    <row r="41" spans="1:20" s="50" customFormat="1" ht="24.95" customHeight="1" x14ac:dyDescent="0.25">
      <c r="A41" s="53" t="s">
        <v>1</v>
      </c>
      <c r="B41" s="52" t="s">
        <v>44</v>
      </c>
      <c r="C41" s="52" t="s">
        <v>21</v>
      </c>
      <c r="D41" s="74">
        <f>+F40+1</f>
        <v>46026</v>
      </c>
      <c r="E41" s="54" t="s">
        <v>20</v>
      </c>
      <c r="F41" s="80">
        <v>46035</v>
      </c>
      <c r="G41" s="52" t="s">
        <v>23</v>
      </c>
      <c r="H41" s="54">
        <v>4586.8900000000003</v>
      </c>
      <c r="I41" s="56">
        <v>130000</v>
      </c>
      <c r="J41" s="109">
        <v>5</v>
      </c>
      <c r="K41" s="51">
        <v>2934.5155432111951</v>
      </c>
      <c r="L41" s="58" t="s">
        <v>75</v>
      </c>
      <c r="M41" s="49">
        <v>68550556</v>
      </c>
      <c r="N41" s="49"/>
      <c r="O41" s="49">
        <v>6500000</v>
      </c>
      <c r="P41" s="56">
        <v>20410000</v>
      </c>
      <c r="Q41" s="52"/>
      <c r="R41" s="52"/>
      <c r="S41" s="52"/>
      <c r="T41" s="52">
        <v>11000000</v>
      </c>
    </row>
    <row r="42" spans="1:20" s="50" customFormat="1" ht="24.95" customHeight="1" x14ac:dyDescent="0.25">
      <c r="A42" s="53" t="s">
        <v>1</v>
      </c>
      <c r="B42" s="52" t="s">
        <v>46</v>
      </c>
      <c r="C42" s="52" t="s">
        <v>18</v>
      </c>
      <c r="D42" s="74">
        <f t="shared" ref="D42:D46" si="4">+F41+1</f>
        <v>46036</v>
      </c>
      <c r="E42" s="54" t="s">
        <v>12</v>
      </c>
      <c r="F42" s="80">
        <v>46045</v>
      </c>
      <c r="G42" s="52" t="s">
        <v>19</v>
      </c>
      <c r="H42" s="54">
        <v>4765.3</v>
      </c>
      <c r="I42" s="56">
        <v>183000</v>
      </c>
      <c r="J42" s="109">
        <v>9</v>
      </c>
      <c r="K42" s="51">
        <v>0</v>
      </c>
      <c r="L42" s="58" t="s">
        <v>75</v>
      </c>
      <c r="M42" s="49"/>
      <c r="N42" s="49">
        <v>34226090</v>
      </c>
      <c r="O42" s="49">
        <f>8450000+17470000</f>
        <v>25920000</v>
      </c>
      <c r="P42" s="56">
        <v>3600000</v>
      </c>
      <c r="Q42" s="52"/>
      <c r="R42" s="52"/>
      <c r="S42" s="52"/>
      <c r="T42" s="52">
        <f>770000+2000000</f>
        <v>2770000</v>
      </c>
    </row>
    <row r="43" spans="1:20" s="50" customFormat="1" ht="24.95" customHeight="1" x14ac:dyDescent="0.25">
      <c r="A43" s="53" t="s">
        <v>1</v>
      </c>
      <c r="B43" s="52" t="s">
        <v>47</v>
      </c>
      <c r="C43" s="52" t="s">
        <v>16</v>
      </c>
      <c r="D43" s="74">
        <f t="shared" si="4"/>
        <v>46046</v>
      </c>
      <c r="E43" s="54" t="s">
        <v>24</v>
      </c>
      <c r="F43" s="80">
        <v>46059</v>
      </c>
      <c r="G43" s="52" t="s">
        <v>22</v>
      </c>
      <c r="H43" s="54">
        <v>1</v>
      </c>
      <c r="I43" s="56">
        <v>320000000</v>
      </c>
      <c r="J43" s="109">
        <v>15</v>
      </c>
      <c r="K43" s="51"/>
      <c r="L43" s="58" t="s">
        <v>74</v>
      </c>
      <c r="M43" s="49">
        <v>42729942</v>
      </c>
      <c r="N43" s="49"/>
      <c r="O43" s="49">
        <v>5700000</v>
      </c>
      <c r="P43" s="56">
        <v>24300000</v>
      </c>
      <c r="Q43" s="52"/>
      <c r="R43" s="52"/>
      <c r="S43" s="52"/>
      <c r="T43" s="52">
        <v>11000000</v>
      </c>
    </row>
    <row r="44" spans="1:20" s="50" customFormat="1" ht="24.95" customHeight="1" x14ac:dyDescent="0.25">
      <c r="A44" s="53" t="s">
        <v>1</v>
      </c>
      <c r="B44" s="52" t="s">
        <v>53</v>
      </c>
      <c r="C44" s="52" t="s">
        <v>14</v>
      </c>
      <c r="D44" s="74">
        <f t="shared" si="4"/>
        <v>46060</v>
      </c>
      <c r="E44" s="54" t="s">
        <v>15</v>
      </c>
      <c r="F44" s="80">
        <v>46068</v>
      </c>
      <c r="G44" s="52" t="s">
        <v>19</v>
      </c>
      <c r="H44" s="54">
        <v>4762</v>
      </c>
      <c r="I44" s="56">
        <v>193000</v>
      </c>
      <c r="J44" s="109">
        <v>18</v>
      </c>
      <c r="K44" s="51">
        <v>10000</v>
      </c>
      <c r="L44" s="58" t="s">
        <v>74</v>
      </c>
      <c r="M44" s="91">
        <v>44749011</v>
      </c>
      <c r="N44" s="91">
        <v>41789104</v>
      </c>
      <c r="O44" s="49">
        <v>4200000</v>
      </c>
      <c r="P44" s="56">
        <v>8300000</v>
      </c>
      <c r="Q44" s="52"/>
      <c r="R44" s="52"/>
      <c r="S44" s="52"/>
      <c r="T44" s="52">
        <v>7700000</v>
      </c>
    </row>
    <row r="45" spans="1:20" s="50" customFormat="1" ht="24.95" customHeight="1" x14ac:dyDescent="0.25">
      <c r="A45" s="53" t="s">
        <v>1</v>
      </c>
      <c r="B45" s="52" t="s">
        <v>58</v>
      </c>
      <c r="C45" s="52" t="s">
        <v>59</v>
      </c>
      <c r="D45" s="74">
        <f t="shared" si="4"/>
        <v>46069</v>
      </c>
      <c r="E45" s="54" t="s">
        <v>20</v>
      </c>
      <c r="F45" s="80">
        <v>46086</v>
      </c>
      <c r="G45" s="52" t="s">
        <v>17</v>
      </c>
      <c r="H45" s="54">
        <v>4694.6499999999996</v>
      </c>
      <c r="I45" s="56">
        <v>145000</v>
      </c>
      <c r="J45" s="109">
        <v>22</v>
      </c>
      <c r="K45" s="51"/>
      <c r="L45" s="58" t="s">
        <v>74</v>
      </c>
      <c r="M45" s="91">
        <v>57467488</v>
      </c>
      <c r="N45" s="49">
        <v>28954579</v>
      </c>
      <c r="O45" s="49">
        <v>8400000</v>
      </c>
      <c r="P45" s="56">
        <v>9800000</v>
      </c>
      <c r="Q45" s="52"/>
      <c r="R45" s="52"/>
      <c r="S45" s="52"/>
      <c r="T45" s="52">
        <v>11000000</v>
      </c>
    </row>
    <row r="46" spans="1:20" s="50" customFormat="1" ht="24.95" customHeight="1" x14ac:dyDescent="0.25">
      <c r="A46" s="53" t="s">
        <v>1</v>
      </c>
      <c r="B46" s="52" t="s">
        <v>61</v>
      </c>
      <c r="C46" s="52" t="s">
        <v>18</v>
      </c>
      <c r="D46" s="74">
        <f t="shared" si="4"/>
        <v>46087</v>
      </c>
      <c r="E46" s="54" t="s">
        <v>12</v>
      </c>
      <c r="F46" s="80">
        <v>46105</v>
      </c>
      <c r="G46" s="52" t="s">
        <v>13</v>
      </c>
      <c r="H46" s="54">
        <v>4785.3</v>
      </c>
      <c r="I46" s="56">
        <v>193000</v>
      </c>
      <c r="J46" s="109">
        <v>30</v>
      </c>
      <c r="K46" s="51"/>
      <c r="L46" s="58" t="s">
        <v>74</v>
      </c>
      <c r="M46" s="49"/>
      <c r="N46" s="99"/>
      <c r="O46" s="49"/>
      <c r="P46" s="56"/>
      <c r="Q46" s="52"/>
      <c r="R46" s="52"/>
      <c r="S46" s="52"/>
      <c r="T46" s="52"/>
    </row>
    <row r="47" spans="1:20" s="50" customFormat="1" ht="24.95" customHeight="1" x14ac:dyDescent="0.25">
      <c r="A47" s="53" t="s">
        <v>1</v>
      </c>
      <c r="B47" s="52" t="s">
        <v>64</v>
      </c>
      <c r="C47" s="52" t="s">
        <v>38</v>
      </c>
      <c r="D47" s="74">
        <f>+F46</f>
        <v>46105</v>
      </c>
      <c r="E47" s="54" t="s">
        <v>65</v>
      </c>
      <c r="F47" s="80">
        <v>46111</v>
      </c>
      <c r="G47" s="52" t="s">
        <v>23</v>
      </c>
      <c r="H47" s="54">
        <v>1</v>
      </c>
      <c r="I47" s="56">
        <v>510000000</v>
      </c>
      <c r="J47" s="109">
        <v>32</v>
      </c>
      <c r="K47" s="51"/>
      <c r="L47" s="58" t="s">
        <v>74</v>
      </c>
      <c r="M47" s="91">
        <v>43325000</v>
      </c>
      <c r="N47" s="91"/>
      <c r="O47" s="49"/>
      <c r="P47" s="56"/>
      <c r="Q47" s="52"/>
      <c r="R47" s="52"/>
      <c r="S47" s="52"/>
      <c r="T47" s="52"/>
    </row>
    <row r="48" spans="1:20" s="50" customFormat="1" ht="24.95" customHeight="1" x14ac:dyDescent="0.25">
      <c r="A48" s="53" t="s">
        <v>1</v>
      </c>
      <c r="B48" s="52" t="s">
        <v>68</v>
      </c>
      <c r="C48" s="52" t="s">
        <v>14</v>
      </c>
      <c r="D48" s="74">
        <f>+F47</f>
        <v>46111</v>
      </c>
      <c r="E48" s="54" t="s">
        <v>15</v>
      </c>
      <c r="F48" s="80">
        <v>46120</v>
      </c>
      <c r="G48" s="52" t="s">
        <v>13</v>
      </c>
      <c r="H48" s="54">
        <v>4773.09</v>
      </c>
      <c r="I48" s="56">
        <v>243000</v>
      </c>
      <c r="J48" s="109">
        <v>38</v>
      </c>
      <c r="K48" s="51">
        <v>0</v>
      </c>
      <c r="L48" s="58" t="s">
        <v>74</v>
      </c>
      <c r="M48" s="49"/>
      <c r="N48" s="49"/>
      <c r="O48" s="49"/>
      <c r="P48" s="56"/>
      <c r="Q48" s="52"/>
      <c r="R48" s="52"/>
      <c r="S48" s="52"/>
      <c r="T48" s="52"/>
    </row>
    <row r="49" spans="1:20" s="50" customFormat="1" ht="24.95" customHeight="1" x14ac:dyDescent="0.25">
      <c r="A49" s="53" t="s">
        <v>1</v>
      </c>
      <c r="B49" s="52" t="s">
        <v>69</v>
      </c>
      <c r="C49" s="52" t="s">
        <v>16</v>
      </c>
      <c r="D49" s="74">
        <f>+F48+1</f>
        <v>46121</v>
      </c>
      <c r="E49" s="54" t="s">
        <v>19</v>
      </c>
      <c r="F49" s="80">
        <v>46136</v>
      </c>
      <c r="G49" s="52" t="s">
        <v>23</v>
      </c>
      <c r="H49" s="54">
        <v>1</v>
      </c>
      <c r="I49" s="56">
        <f>410400000+(299600000/1.08)</f>
        <v>687807407.4074074</v>
      </c>
      <c r="J49" s="109">
        <v>46</v>
      </c>
      <c r="K49" s="51">
        <v>-277807407</v>
      </c>
      <c r="L49" s="58" t="s">
        <v>74</v>
      </c>
      <c r="M49" s="49"/>
      <c r="N49" s="49"/>
      <c r="O49" s="49"/>
      <c r="P49" s="56"/>
      <c r="Q49" s="52"/>
      <c r="R49" s="52"/>
      <c r="S49" s="52"/>
      <c r="T49" s="52"/>
    </row>
    <row r="50" spans="1:20" s="50" customFormat="1" ht="24.95" customHeight="1" x14ac:dyDescent="0.25">
      <c r="A50" s="53" t="s">
        <v>1</v>
      </c>
      <c r="B50" s="52" t="s">
        <v>70</v>
      </c>
      <c r="C50" s="52" t="s">
        <v>18</v>
      </c>
      <c r="D50" s="74">
        <f>+F49+1</f>
        <v>46137</v>
      </c>
      <c r="E50" s="54" t="s">
        <v>11</v>
      </c>
      <c r="F50" s="80">
        <v>46143</v>
      </c>
      <c r="G50" s="52" t="s">
        <v>19</v>
      </c>
      <c r="H50" s="54">
        <v>4785.03</v>
      </c>
      <c r="I50" s="56">
        <v>210000</v>
      </c>
      <c r="J50" s="109">
        <v>47</v>
      </c>
      <c r="K50" s="51"/>
      <c r="L50" s="58" t="s">
        <v>74</v>
      </c>
      <c r="M50" s="49"/>
      <c r="N50" s="49"/>
      <c r="O50" s="49"/>
      <c r="P50" s="56"/>
      <c r="Q50" s="52"/>
      <c r="R50" s="52"/>
      <c r="S50" s="52"/>
      <c r="T50" s="52"/>
    </row>
    <row r="51" spans="1:20" s="50" customFormat="1" ht="24.95" customHeight="1" x14ac:dyDescent="0.25">
      <c r="A51" s="53" t="s">
        <v>1</v>
      </c>
      <c r="B51" s="52" t="s">
        <v>71</v>
      </c>
      <c r="C51" s="52" t="s">
        <v>21</v>
      </c>
      <c r="D51" s="74">
        <f>+F50+1</f>
        <v>46144</v>
      </c>
      <c r="E51" s="54" t="s">
        <v>20</v>
      </c>
      <c r="F51" s="80">
        <v>46152</v>
      </c>
      <c r="G51" s="52" t="s">
        <v>23</v>
      </c>
      <c r="H51" s="54">
        <v>4695.13</v>
      </c>
      <c r="I51" s="56">
        <v>125000</v>
      </c>
      <c r="J51" s="109">
        <v>52</v>
      </c>
      <c r="K51" s="51"/>
      <c r="L51" s="58" t="s">
        <v>75</v>
      </c>
      <c r="M51" s="49"/>
      <c r="N51" s="49"/>
      <c r="O51" s="49"/>
      <c r="P51" s="56"/>
      <c r="Q51" s="52"/>
      <c r="R51" s="52"/>
      <c r="S51" s="52"/>
      <c r="T51" s="52"/>
    </row>
    <row r="52" spans="1:20" s="50" customFormat="1" ht="24.95" customHeight="1" x14ac:dyDescent="0.25">
      <c r="A52" s="53"/>
      <c r="B52" s="52"/>
      <c r="C52" s="52"/>
      <c r="D52" s="74"/>
      <c r="E52" s="54"/>
      <c r="F52" s="80"/>
      <c r="G52" s="52"/>
      <c r="H52" s="54"/>
      <c r="I52" s="56"/>
      <c r="J52" s="109"/>
      <c r="K52" s="51"/>
      <c r="L52" s="58"/>
      <c r="M52" s="49"/>
      <c r="N52" s="49"/>
      <c r="O52" s="49"/>
      <c r="P52" s="56"/>
      <c r="Q52" s="52"/>
      <c r="R52" s="52"/>
      <c r="S52" s="52"/>
      <c r="T52" s="52"/>
    </row>
    <row r="53" spans="1:20" s="50" customFormat="1" ht="24.95" customHeight="1" x14ac:dyDescent="0.25">
      <c r="A53" s="53"/>
      <c r="B53" s="52"/>
      <c r="C53" s="52"/>
      <c r="D53" s="53"/>
      <c r="E53" s="54"/>
      <c r="F53" s="55"/>
      <c r="G53" s="52"/>
      <c r="H53" s="56"/>
      <c r="I53" s="56"/>
      <c r="J53" s="109"/>
      <c r="K53" s="57"/>
      <c r="L53" s="58"/>
      <c r="M53" s="49"/>
      <c r="N53" s="57"/>
      <c r="O53" s="57"/>
      <c r="P53" s="56"/>
      <c r="Q53" s="52"/>
      <c r="R53" s="52"/>
      <c r="S53" s="52"/>
      <c r="T53" s="52"/>
    </row>
    <row r="54" spans="1:20" s="60" customFormat="1" ht="24.95" customHeight="1" x14ac:dyDescent="0.25">
      <c r="A54" s="68" t="s">
        <v>37</v>
      </c>
      <c r="B54" s="67" t="s">
        <v>43</v>
      </c>
      <c r="C54" s="67" t="s">
        <v>50</v>
      </c>
      <c r="D54" s="81">
        <v>46029</v>
      </c>
      <c r="E54" s="69" t="s">
        <v>42</v>
      </c>
      <c r="F54" s="83">
        <v>46041</v>
      </c>
      <c r="G54" s="67" t="s">
        <v>41</v>
      </c>
      <c r="H54" s="70">
        <v>7322.56</v>
      </c>
      <c r="I54" s="70">
        <v>95000</v>
      </c>
      <c r="J54" s="110">
        <v>7</v>
      </c>
      <c r="K54" s="71"/>
      <c r="L54" s="72" t="s">
        <v>74</v>
      </c>
      <c r="M54" s="71">
        <v>51613525</v>
      </c>
      <c r="N54" s="71"/>
      <c r="O54" s="61">
        <v>5000000</v>
      </c>
      <c r="P54" s="70">
        <v>16880000</v>
      </c>
      <c r="Q54" s="67"/>
      <c r="R54" s="67"/>
      <c r="S54" s="67"/>
      <c r="T54" s="59">
        <v>11340000</v>
      </c>
    </row>
    <row r="55" spans="1:20" s="60" customFormat="1" ht="24.95" customHeight="1" x14ac:dyDescent="0.25">
      <c r="A55" s="63" t="s">
        <v>37</v>
      </c>
      <c r="B55" s="62" t="s">
        <v>44</v>
      </c>
      <c r="C55" s="62" t="s">
        <v>18</v>
      </c>
      <c r="D55" s="81">
        <f>+F54+1</f>
        <v>46042</v>
      </c>
      <c r="E55" s="64" t="s">
        <v>41</v>
      </c>
      <c r="F55" s="82">
        <v>46055</v>
      </c>
      <c r="G55" s="62" t="s">
        <v>51</v>
      </c>
      <c r="H55" s="65">
        <v>7995.95</v>
      </c>
      <c r="I55" s="65">
        <v>183000</v>
      </c>
      <c r="J55" s="111">
        <v>13</v>
      </c>
      <c r="K55" s="66">
        <v>10000</v>
      </c>
      <c r="L55" s="72" t="s">
        <v>74</v>
      </c>
      <c r="M55" s="62"/>
      <c r="N55" s="61">
        <v>64837024</v>
      </c>
      <c r="O55" s="61">
        <v>7250000</v>
      </c>
      <c r="P55" s="65">
        <v>4300000</v>
      </c>
      <c r="Q55" s="62">
        <v>6480000</v>
      </c>
      <c r="R55" s="62">
        <v>16848000</v>
      </c>
      <c r="S55" s="62">
        <v>22231411</v>
      </c>
      <c r="T55" s="59">
        <v>11340000</v>
      </c>
    </row>
    <row r="56" spans="1:20" s="60" customFormat="1" ht="24.95" customHeight="1" x14ac:dyDescent="0.25">
      <c r="A56" s="68" t="s">
        <v>37</v>
      </c>
      <c r="B56" s="67" t="s">
        <v>46</v>
      </c>
      <c r="C56" s="67" t="s">
        <v>54</v>
      </c>
      <c r="D56" s="81">
        <f t="shared" ref="D56:D58" si="5">+F55+1</f>
        <v>46056</v>
      </c>
      <c r="E56" s="69" t="s">
        <v>55</v>
      </c>
      <c r="F56" s="89">
        <v>46062</v>
      </c>
      <c r="G56" s="67" t="s">
        <v>52</v>
      </c>
      <c r="H56" s="70">
        <v>4980.97</v>
      </c>
      <c r="I56" s="70">
        <v>92000</v>
      </c>
      <c r="J56" s="110">
        <v>16</v>
      </c>
      <c r="K56" s="71"/>
      <c r="L56" s="72" t="s">
        <v>56</v>
      </c>
      <c r="M56" s="61">
        <v>49732588</v>
      </c>
      <c r="N56" s="71">
        <f>70000000+13786824</f>
        <v>83786824</v>
      </c>
      <c r="O56" s="61">
        <v>5600000</v>
      </c>
      <c r="P56" s="70">
        <v>5500000</v>
      </c>
      <c r="Q56" s="67"/>
      <c r="R56" s="67"/>
      <c r="S56" s="67"/>
      <c r="T56" s="59">
        <v>6480000</v>
      </c>
    </row>
    <row r="57" spans="1:20" s="60" customFormat="1" ht="24.95" customHeight="1" x14ac:dyDescent="0.25">
      <c r="A57" s="68" t="s">
        <v>37</v>
      </c>
      <c r="B57" s="67" t="s">
        <v>47</v>
      </c>
      <c r="C57" s="67" t="s">
        <v>18</v>
      </c>
      <c r="D57" s="81">
        <f t="shared" si="5"/>
        <v>46063</v>
      </c>
      <c r="E57" s="69" t="s">
        <v>12</v>
      </c>
      <c r="F57" s="89">
        <v>46088</v>
      </c>
      <c r="G57" s="67" t="s">
        <v>13</v>
      </c>
      <c r="H57" s="70">
        <v>7972.3</v>
      </c>
      <c r="I57" s="70">
        <v>187500</v>
      </c>
      <c r="J57" s="110">
        <v>24</v>
      </c>
      <c r="K57" s="71"/>
      <c r="L57" s="72" t="s">
        <v>74</v>
      </c>
      <c r="M57" s="61"/>
      <c r="N57" s="95">
        <v>46981024</v>
      </c>
      <c r="O57" s="61">
        <v>14670000</v>
      </c>
      <c r="P57" s="70"/>
      <c r="Q57" s="67"/>
      <c r="R57" s="67"/>
      <c r="S57" s="67"/>
      <c r="T57" s="59"/>
    </row>
    <row r="58" spans="1:20" s="60" customFormat="1" ht="24.95" customHeight="1" x14ac:dyDescent="0.25">
      <c r="A58" s="68" t="s">
        <v>37</v>
      </c>
      <c r="B58" s="67" t="s">
        <v>53</v>
      </c>
      <c r="C58" s="67" t="s">
        <v>14</v>
      </c>
      <c r="D58" s="81">
        <f t="shared" si="5"/>
        <v>46089</v>
      </c>
      <c r="E58" s="69" t="s">
        <v>15</v>
      </c>
      <c r="F58" s="89">
        <v>46102</v>
      </c>
      <c r="G58" s="67" t="s">
        <v>13</v>
      </c>
      <c r="H58" s="93">
        <v>7998.27</v>
      </c>
      <c r="I58" s="70">
        <v>200000</v>
      </c>
      <c r="J58" s="110">
        <v>28</v>
      </c>
      <c r="K58" s="71">
        <v>25000</v>
      </c>
      <c r="L58" s="72" t="s">
        <v>74</v>
      </c>
      <c r="M58" s="96">
        <v>48961216</v>
      </c>
      <c r="N58" s="96">
        <v>42134000</v>
      </c>
      <c r="O58" s="61"/>
      <c r="P58" s="70"/>
      <c r="Q58" s="67"/>
      <c r="R58" s="67"/>
      <c r="S58" s="67"/>
      <c r="T58" s="59"/>
    </row>
    <row r="59" spans="1:20" s="60" customFormat="1" ht="24.95" customHeight="1" x14ac:dyDescent="0.25">
      <c r="A59" s="68" t="s">
        <v>37</v>
      </c>
      <c r="B59" s="67" t="s">
        <v>58</v>
      </c>
      <c r="C59" s="67" t="s">
        <v>67</v>
      </c>
      <c r="D59" s="88">
        <f>+F58+1</f>
        <v>46103</v>
      </c>
      <c r="E59" s="69" t="s">
        <v>66</v>
      </c>
      <c r="F59" s="89">
        <v>46115</v>
      </c>
      <c r="G59" s="67" t="s">
        <v>17</v>
      </c>
      <c r="H59" s="70">
        <v>8030.16</v>
      </c>
      <c r="I59" s="70">
        <v>147000</v>
      </c>
      <c r="J59" s="110">
        <v>35</v>
      </c>
      <c r="K59" s="71"/>
      <c r="L59" s="72" t="s">
        <v>74</v>
      </c>
      <c r="M59" s="100">
        <v>42652569</v>
      </c>
      <c r="N59" s="96"/>
      <c r="O59" s="67"/>
      <c r="P59" s="70"/>
      <c r="Q59" s="67"/>
      <c r="R59" s="67"/>
      <c r="S59" s="67"/>
      <c r="T59" s="67"/>
    </row>
    <row r="60" spans="1:20" s="60" customFormat="1" ht="24.95" customHeight="1" x14ac:dyDescent="0.25">
      <c r="A60" s="68" t="s">
        <v>37</v>
      </c>
      <c r="B60" s="67" t="s">
        <v>61</v>
      </c>
      <c r="C60" s="67" t="s">
        <v>38</v>
      </c>
      <c r="D60" s="88">
        <f>+F59+1</f>
        <v>46116</v>
      </c>
      <c r="E60" s="69" t="s">
        <v>40</v>
      </c>
      <c r="F60" s="89">
        <v>46123</v>
      </c>
      <c r="G60" s="67" t="s">
        <v>12</v>
      </c>
      <c r="H60" s="70">
        <v>7814.6</v>
      </c>
      <c r="I60" s="70">
        <v>107000</v>
      </c>
      <c r="J60" s="110">
        <v>39</v>
      </c>
      <c r="K60" s="71"/>
      <c r="L60" s="72" t="s">
        <v>75</v>
      </c>
      <c r="M60" s="61"/>
      <c r="N60" s="71">
        <v>64699340</v>
      </c>
      <c r="O60" s="67"/>
      <c r="P60" s="70"/>
      <c r="Q60" s="67"/>
      <c r="R60" s="67"/>
      <c r="S60" s="67"/>
      <c r="T60" s="67"/>
    </row>
    <row r="61" spans="1:20" s="60" customFormat="1" ht="24.95" customHeight="1" x14ac:dyDescent="0.25">
      <c r="A61" s="68" t="s">
        <v>37</v>
      </c>
      <c r="B61" s="67" t="s">
        <v>64</v>
      </c>
      <c r="C61" s="67" t="s">
        <v>14</v>
      </c>
      <c r="D61" s="88">
        <f>+F60+1</f>
        <v>46124</v>
      </c>
      <c r="E61" s="69" t="s">
        <v>15</v>
      </c>
      <c r="F61" s="89">
        <v>46132</v>
      </c>
      <c r="G61" s="67" t="s">
        <v>19</v>
      </c>
      <c r="H61" s="70">
        <v>7794</v>
      </c>
      <c r="I61" s="70">
        <v>258000</v>
      </c>
      <c r="J61" s="110">
        <v>43</v>
      </c>
      <c r="K61" s="71"/>
      <c r="L61" s="72" t="s">
        <v>74</v>
      </c>
      <c r="M61" s="61">
        <f>+N58+M47+M59</f>
        <v>128111569</v>
      </c>
      <c r="N61" s="71"/>
      <c r="O61" s="67"/>
      <c r="P61" s="70"/>
      <c r="Q61" s="67"/>
      <c r="R61" s="67"/>
      <c r="S61" s="67"/>
      <c r="T61" s="67"/>
    </row>
    <row r="62" spans="1:20" s="60" customFormat="1" ht="24.95" customHeight="1" x14ac:dyDescent="0.25">
      <c r="A62" s="68" t="s">
        <v>37</v>
      </c>
      <c r="B62" s="67" t="s">
        <v>68</v>
      </c>
      <c r="C62" s="67" t="s">
        <v>14</v>
      </c>
      <c r="D62" s="88">
        <f>+F61+1</f>
        <v>46133</v>
      </c>
      <c r="E62" s="69" t="s">
        <v>15</v>
      </c>
      <c r="F62" s="89">
        <v>46146</v>
      </c>
      <c r="G62" s="67" t="s">
        <v>19</v>
      </c>
      <c r="H62" s="70">
        <v>7497</v>
      </c>
      <c r="I62" s="70">
        <v>248000</v>
      </c>
      <c r="J62" s="110">
        <v>48</v>
      </c>
      <c r="K62" s="71"/>
      <c r="L62" s="72" t="s">
        <v>74</v>
      </c>
      <c r="M62" s="61"/>
      <c r="N62" s="71"/>
      <c r="O62" s="67"/>
      <c r="P62" s="70"/>
      <c r="Q62" s="67"/>
      <c r="R62" s="67"/>
      <c r="S62" s="67"/>
      <c r="T62" s="67"/>
    </row>
    <row r="63" spans="1:20" s="60" customFormat="1" ht="24.95" customHeight="1" x14ac:dyDescent="0.25">
      <c r="A63" s="68" t="s">
        <v>37</v>
      </c>
      <c r="B63" s="67"/>
      <c r="C63" s="67"/>
      <c r="D63" s="88"/>
      <c r="E63" s="69"/>
      <c r="F63" s="89"/>
      <c r="G63" s="67"/>
      <c r="H63" s="70"/>
      <c r="I63" s="70"/>
      <c r="J63" s="110"/>
      <c r="K63" s="71"/>
      <c r="L63" s="72"/>
      <c r="M63" s="61"/>
      <c r="N63" s="71"/>
      <c r="O63" s="67"/>
      <c r="P63" s="70"/>
      <c r="Q63" s="67"/>
      <c r="R63" s="67"/>
      <c r="S63" s="67"/>
      <c r="T63" s="67"/>
    </row>
  </sheetData>
  <mergeCells count="3">
    <mergeCell ref="M2:T2"/>
    <mergeCell ref="A2:L2"/>
    <mergeCell ref="A1:T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lieu khai thac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2025-07-31T04:13:33Z</cp:lastPrinted>
  <dcterms:created xsi:type="dcterms:W3CDTF">2021-01-06T03:12:54Z</dcterms:created>
  <dcterms:modified xsi:type="dcterms:W3CDTF">2026-05-17T09:06:15Z</dcterms:modified>
</cp:coreProperties>
</file>